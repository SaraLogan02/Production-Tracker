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b948a7b390f0ffc/Documents/Professional Documents/Portfolio Examples/Production_Tracker/"/>
    </mc:Choice>
  </mc:AlternateContent>
  <xr:revisionPtr revIDLastSave="106" documentId="8_{FCB9EC68-8CE4-41DB-BAE4-8D2207009277}" xr6:coauthVersionLast="47" xr6:coauthVersionMax="47" xr10:uidLastSave="{26222C66-4604-417C-AB41-ABDDF1AA3213}"/>
  <bookViews>
    <workbookView xWindow="-108" yWindow="-108" windowWidth="23256" windowHeight="12456" tabRatio="718" xr2:uid="{0DD7D9F1-C27D-4E0B-B277-D7651D55A349}"/>
  </bookViews>
  <sheets>
    <sheet name="DF Tracker" sheetId="1" r:id="rId1"/>
    <sheet name="Downtime Tracker" sheetId="3" r:id="rId2"/>
  </sheets>
  <definedNames>
    <definedName name="DCN_Section_pyWorkPage_1" localSheetId="0">'DF Tracker'!$A$26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/>
  <c r="L3" i="1"/>
  <c r="L2" i="1" a="1"/>
  <c r="L2" i="1" s="1"/>
  <c r="G3" i="1" a="1"/>
  <c r="G3" i="1" s="1"/>
  <c r="H3" i="1" s="1"/>
  <c r="G4" i="1"/>
  <c r="H4" i="1" s="1"/>
  <c r="O2" i="1"/>
  <c r="G2" i="1"/>
  <c r="H2" i="1" s="1"/>
  <c r="M2" i="1" l="1"/>
  <c r="L5" i="1" l="1"/>
  <c r="B3" i="3"/>
  <c r="B2" i="3"/>
  <c r="G4" i="3"/>
  <c r="G5" i="3"/>
  <c r="G6" i="3"/>
  <c r="G7" i="3"/>
  <c r="G8" i="3"/>
  <c r="G9" i="3"/>
  <c r="G10" i="3"/>
  <c r="G11" i="3"/>
  <c r="G3" i="3"/>
  <c r="M5" i="3"/>
  <c r="M6" i="3"/>
  <c r="M7" i="3"/>
  <c r="M8" i="3"/>
  <c r="B6" i="3" l="1"/>
  <c r="G5" i="1"/>
  <c r="M4" i="3"/>
  <c r="M3" i="3"/>
  <c r="G12" i="3"/>
  <c r="M9" i="3" l="1"/>
  <c r="B5" i="3" s="1"/>
  <c r="I3" i="1"/>
  <c r="B7" i="3"/>
  <c r="H5" i="1"/>
  <c r="I4" i="1" s="1"/>
  <c r="B4" i="3"/>
  <c r="B8" i="3" l="1"/>
  <c r="I5" i="1" s="1"/>
  <c r="I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 Logan</author>
  </authors>
  <commentList>
    <comment ref="I2" authorId="0" shapeId="0" xr:uid="{91A2E9D2-7C7B-4CF2-8182-3FD30D265C71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Meeting Carve out time total from Downtime Tracker</t>
        </r>
      </text>
    </comment>
    <comment ref="M2" authorId="0" shapeId="0" xr:uid="{2A732321-FC7E-441E-9CBE-04F9FB1DF773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Enter this time manually in production reporting. It is excluded from the calculated total to avoid double-counting.</t>
        </r>
      </text>
    </comment>
    <comment ref="I3" authorId="0" shapeId="0" xr:uid="{BB728521-E987-4DA0-B182-45E5437CF25E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Other carve out time total from Downtime Tracker
</t>
        </r>
      </text>
    </comment>
    <comment ref="G5" authorId="0" shapeId="0" xr:uid="{B12B4BDF-3525-4CD3-B17A-517E9ED02A72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Total Production count</t>
        </r>
      </text>
    </comment>
    <comment ref="H5" authorId="0" shapeId="0" xr:uid="{49CA52C7-0835-4B79-8063-B2405ED74CCF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Total time for claim types
</t>
        </r>
      </text>
    </comment>
    <comment ref="I5" authorId="0" shapeId="0" xr:uid="{E722A7AB-387A-48AD-870E-06A3ECFC5414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Sara Logan:
Total time to make sure you have met production for the day that includes any carve out time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 Logan</author>
  </authors>
  <commentList>
    <comment ref="E3" authorId="0" shapeId="0" xr:uid="{B40667D7-E170-431E-AFC6-21268B19977B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Enter time with AM or PM example 7 AM
</t>
        </r>
      </text>
    </comment>
    <comment ref="K3" authorId="0" shapeId="0" xr:uid="{85C982D6-D4E5-4F3E-8AD7-14D86A96A99F}">
      <text>
        <r>
          <rPr>
            <b/>
            <sz val="9"/>
            <color indexed="81"/>
            <rFont val="Tahoma"/>
            <family val="2"/>
          </rPr>
          <t>Sara Logan:</t>
        </r>
        <r>
          <rPr>
            <sz val="9"/>
            <color indexed="81"/>
            <rFont val="Tahoma"/>
            <family val="2"/>
          </rPr>
          <t xml:space="preserve">
Enter time with AM or PM example 7 AM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<sst xmlns="http://schemas.openxmlformats.org/spreadsheetml/2006/main" count="35" uniqueCount="23">
  <si>
    <t>DF Tracker</t>
  </si>
  <si>
    <t>RE</t>
  </si>
  <si>
    <t>Claim Type Count</t>
  </si>
  <si>
    <t>Hours</t>
  </si>
  <si>
    <t>Status Count</t>
  </si>
  <si>
    <t>PA-Professional</t>
  </si>
  <si>
    <t>Valid DF/Other</t>
  </si>
  <si>
    <t>Other</t>
  </si>
  <si>
    <t>Hold/Work Later</t>
  </si>
  <si>
    <t>Returned CIW</t>
  </si>
  <si>
    <t>created DF</t>
  </si>
  <si>
    <t>Total</t>
  </si>
  <si>
    <t>Start</t>
  </si>
  <si>
    <t>End</t>
  </si>
  <si>
    <t>Meeting</t>
  </si>
  <si>
    <t>Adjustment</t>
  </si>
  <si>
    <t>Institutional</t>
  </si>
  <si>
    <t>Institutional(IC,OC,SC)</t>
  </si>
  <si>
    <t xml:space="preserve">Claim Type </t>
  </si>
  <si>
    <t>Status</t>
  </si>
  <si>
    <t>Notes</t>
  </si>
  <si>
    <t>Claim Number</t>
  </si>
  <si>
    <t>Downtime &amp; Production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</si>
</sst>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;@"/>
    <numFmt numFmtId="165" formatCode="[$-409]h:mm\ AM/PM;@"/>
    <numFmt numFmtId="166" formatCode="h:mm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Times New Roman"/>
      <family val="1"/>
    </font>
    <font>
      <sz val="12"/>
      <name val="Times New Roman"/>
      <family val="1"/>
    </font>
    <font>
      <b/>
      <sz val="10"/>
      <name val="Times New Roman"/>
      <family val="1"/>
    </font>
    <font>
      <b/>
      <sz val="13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6"/>
      <name val="Times New Roman"/>
      <family val="1"/>
    </font>
    <font>
      <sz val="16"/>
      <color theme="1"/>
      <name val="Times New Roman"/>
      <family val="1"/>
    </font>
    <font>
      <b/>
      <sz val="72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b/>
      <i/>
      <sz val="16"/>
      <color theme="1"/>
      <name val="Times New Roman"/>
      <family val="1"/>
    </font>
    <font>
      <sz val="11"/>
      <name val="Times New Roman"/>
      <family val="1"/>
    </font>
    <font>
      <b/>
      <i/>
      <sz val="10"/>
      <color theme="1"/>
      <name val="Times New Roman"/>
      <family val="1"/>
    </font>
    <font>
      <sz val="11"/>
      <color rgb="FF10132E"/>
      <name val="Arial"/>
      <family val="2"/>
    </font>
    <font>
      <sz val="10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FA1D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A448B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F2A0E0"/>
        <bgColor indexed="64"/>
      </patternFill>
    </fill>
    <fill>
      <patternFill patternType="solid">
        <fgColor rgb="FFFF9966"/>
        <bgColor indexed="64"/>
      </patternFill>
    </fill>
  </fills>
  <borders count="37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0" xfId="0" applyProtection="1">
      <protection locked="0"/>
    </xf>
    <xf numFmtId="20" fontId="0" fillId="0" borderId="0" xfId="0" applyNumberFormat="1"/>
    <xf numFmtId="2" fontId="0" fillId="0" borderId="8" xfId="0" applyNumberFormat="1" applyBorder="1"/>
    <xf numFmtId="20" fontId="0" fillId="0" borderId="8" xfId="0" applyNumberFormat="1" applyBorder="1"/>
    <xf numFmtId="164" fontId="0" fillId="0" borderId="0" xfId="0" applyNumberFormat="1" applyProtection="1">
      <protection locked="0"/>
    </xf>
    <xf numFmtId="0" fontId="1" fillId="5" borderId="5" xfId="0" applyFont="1" applyFill="1" applyBorder="1"/>
    <xf numFmtId="20" fontId="1" fillId="5" borderId="0" xfId="0" applyNumberFormat="1" applyFont="1" applyFill="1"/>
    <xf numFmtId="0" fontId="1" fillId="6" borderId="6" xfId="0" applyFont="1" applyFill="1" applyBorder="1"/>
    <xf numFmtId="2" fontId="1" fillId="6" borderId="7" xfId="0" applyNumberFormat="1" applyFont="1" applyFill="1" applyBorder="1"/>
    <xf numFmtId="0" fontId="1" fillId="0" borderId="0" xfId="0" applyFont="1"/>
    <xf numFmtId="0" fontId="5" fillId="0" borderId="3" xfId="0" applyFont="1" applyBorder="1"/>
    <xf numFmtId="0" fontId="5" fillId="0" borderId="17" xfId="0" applyFont="1" applyBorder="1"/>
    <xf numFmtId="20" fontId="5" fillId="6" borderId="13" xfId="0" applyNumberFormat="1" applyFont="1" applyFill="1" applyBorder="1"/>
    <xf numFmtId="165" fontId="1" fillId="6" borderId="7" xfId="0" applyNumberFormat="1" applyFont="1" applyFill="1" applyBorder="1"/>
    <xf numFmtId="165" fontId="5" fillId="0" borderId="17" xfId="0" applyNumberFormat="1" applyFont="1" applyBorder="1"/>
    <xf numFmtId="165" fontId="0" fillId="0" borderId="0" xfId="0" applyNumberFormat="1"/>
    <xf numFmtId="20" fontId="5" fillId="0" borderId="0" xfId="0" applyNumberFormat="1" applyFont="1"/>
    <xf numFmtId="0" fontId="0" fillId="0" borderId="17" xfId="0" applyBorder="1"/>
    <xf numFmtId="0" fontId="6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 hidden="1"/>
    </xf>
    <xf numFmtId="0" fontId="4" fillId="0" borderId="0" xfId="0" applyFont="1" applyAlignment="1" applyProtection="1">
      <alignment horizontal="center" vertical="center" wrapText="1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0" fontId="1" fillId="0" borderId="0" xfId="0" applyFont="1" applyAlignment="1" applyProtection="1">
      <alignment vertical="center" wrapText="1"/>
      <protection locked="0"/>
    </xf>
    <xf numFmtId="1" fontId="3" fillId="0" borderId="0" xfId="0" applyNumberFormat="1" applyFont="1" applyAlignment="1" applyProtection="1">
      <alignment horizontal="center"/>
      <protection locked="0" hidden="1"/>
    </xf>
    <xf numFmtId="0" fontId="3" fillId="0" borderId="0" xfId="0" applyFont="1" applyAlignment="1" applyProtection="1">
      <alignment horizontal="center"/>
      <protection locked="0" hidden="1"/>
    </xf>
    <xf numFmtId="20" fontId="3" fillId="0" borderId="0" xfId="0" applyNumberFormat="1" applyFont="1" applyAlignment="1" applyProtection="1">
      <alignment horizontal="center"/>
      <protection locked="0" hidden="1"/>
    </xf>
    <xf numFmtId="0" fontId="0" fillId="0" borderId="0" xfId="0" applyAlignment="1" applyProtection="1">
      <alignment wrapText="1" shrinkToFit="1"/>
      <protection locked="0"/>
    </xf>
    <xf numFmtId="1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20" fontId="1" fillId="0" borderId="0" xfId="0" applyNumberFormat="1" applyFont="1"/>
    <xf numFmtId="20" fontId="0" fillId="0" borderId="18" xfId="0" applyNumberFormat="1" applyBorder="1"/>
    <xf numFmtId="0" fontId="0" fillId="11" borderId="6" xfId="0" applyFill="1" applyBorder="1" applyProtection="1">
      <protection locked="0"/>
    </xf>
    <xf numFmtId="0" fontId="0" fillId="10" borderId="9" xfId="0" applyFill="1" applyBorder="1" applyProtection="1">
      <protection locked="0"/>
    </xf>
    <xf numFmtId="0" fontId="0" fillId="12" borderId="9" xfId="0" applyFill="1" applyBorder="1" applyProtection="1">
      <protection locked="0"/>
    </xf>
    <xf numFmtId="20" fontId="0" fillId="0" borderId="19" xfId="0" applyNumberFormat="1" applyBorder="1"/>
    <xf numFmtId="0" fontId="5" fillId="13" borderId="14" xfId="0" applyFont="1" applyFill="1" applyBorder="1"/>
    <xf numFmtId="0" fontId="8" fillId="11" borderId="22" xfId="0" applyFont="1" applyFill="1" applyBorder="1" applyProtection="1">
      <protection locked="0"/>
    </xf>
    <xf numFmtId="0" fontId="8" fillId="12" borderId="26" xfId="0" applyFont="1" applyFill="1" applyBorder="1" applyProtection="1">
      <protection locked="0"/>
    </xf>
    <xf numFmtId="0" fontId="8" fillId="4" borderId="25" xfId="0" applyFont="1" applyFill="1" applyBorder="1" applyProtection="1">
      <protection locked="0"/>
    </xf>
    <xf numFmtId="0" fontId="8" fillId="11" borderId="21" xfId="0" applyFont="1" applyFill="1" applyBorder="1" applyProtection="1">
      <protection locked="0"/>
    </xf>
    <xf numFmtId="0" fontId="8" fillId="10" borderId="24" xfId="0" applyFont="1" applyFill="1" applyBorder="1" applyProtection="1">
      <protection locked="0"/>
    </xf>
    <xf numFmtId="0" fontId="8" fillId="12" borderId="25" xfId="0" applyFont="1" applyFill="1" applyBorder="1" applyProtection="1">
      <protection locked="0"/>
    </xf>
    <xf numFmtId="20" fontId="3" fillId="3" borderId="32" xfId="0" applyNumberFormat="1" applyFont="1" applyFill="1" applyBorder="1" applyAlignment="1" applyProtection="1">
      <alignment horizontal="center"/>
      <protection locked="0" hidden="1"/>
    </xf>
    <xf numFmtId="0" fontId="8" fillId="8" borderId="16" xfId="0" applyFont="1" applyFill="1" applyBorder="1" applyAlignment="1" applyProtection="1">
      <alignment wrapText="1"/>
      <protection locked="0"/>
    </xf>
    <xf numFmtId="0" fontId="8" fillId="0" borderId="10" xfId="0" applyFont="1" applyBorder="1" applyProtection="1">
      <protection locked="0"/>
    </xf>
    <xf numFmtId="0" fontId="8" fillId="0" borderId="31" xfId="0" applyFont="1" applyBorder="1" applyProtection="1">
      <protection locked="0"/>
    </xf>
    <xf numFmtId="0" fontId="8" fillId="0" borderId="0" xfId="0" applyFont="1" applyAlignment="1" applyProtection="1">
      <alignment vertical="center" wrapText="1"/>
      <protection locked="0"/>
    </xf>
    <xf numFmtId="0" fontId="9" fillId="0" borderId="0" xfId="0" applyFont="1" applyAlignment="1" applyProtection="1">
      <alignment vertical="center"/>
      <protection locked="0"/>
    </xf>
    <xf numFmtId="0" fontId="16" fillId="0" borderId="1" xfId="0" applyFont="1" applyBorder="1" applyProtection="1">
      <protection locked="0"/>
    </xf>
    <xf numFmtId="0" fontId="8" fillId="0" borderId="1" xfId="0" applyFont="1" applyBorder="1" applyProtection="1">
      <protection locked="0"/>
    </xf>
    <xf numFmtId="1" fontId="8" fillId="0" borderId="1" xfId="0" applyNumberFormat="1" applyFont="1" applyBorder="1" applyProtection="1">
      <protection locked="0"/>
    </xf>
    <xf numFmtId="0" fontId="17" fillId="7" borderId="16" xfId="0" applyFont="1" applyFill="1" applyBorder="1" applyAlignment="1" applyProtection="1">
      <alignment vertical="center" wrapText="1"/>
      <protection locked="0"/>
    </xf>
    <xf numFmtId="0" fontId="19" fillId="10" borderId="16" xfId="0" applyFont="1" applyFill="1" applyBorder="1" applyAlignment="1" applyProtection="1">
      <alignment wrapText="1"/>
      <protection locked="0"/>
    </xf>
    <xf numFmtId="0" fontId="13" fillId="2" borderId="0" xfId="0" applyFont="1" applyFill="1" applyAlignment="1" applyProtection="1">
      <alignment horizontal="center"/>
      <protection locked="0"/>
    </xf>
    <xf numFmtId="1" fontId="14" fillId="2" borderId="0" xfId="0" applyNumberFormat="1" applyFont="1" applyFill="1" applyAlignment="1" applyProtection="1">
      <alignment horizontal="center"/>
      <protection locked="0"/>
    </xf>
    <xf numFmtId="0" fontId="14" fillId="2" borderId="0" xfId="0" applyFont="1" applyFill="1" applyAlignment="1" applyProtection="1">
      <alignment horizontal="center"/>
      <protection locked="0"/>
    </xf>
    <xf numFmtId="164" fontId="14" fillId="2" borderId="0" xfId="0" applyNumberFormat="1" applyFont="1" applyFill="1" applyAlignment="1" applyProtection="1">
      <alignment horizontal="center"/>
      <protection locked="0"/>
    </xf>
    <xf numFmtId="20" fontId="5" fillId="15" borderId="13" xfId="0" applyNumberFormat="1" applyFont="1" applyFill="1" applyBorder="1"/>
    <xf numFmtId="20" fontId="5" fillId="13" borderId="15" xfId="0" applyNumberFormat="1" applyFont="1" applyFill="1" applyBorder="1"/>
    <xf numFmtId="20" fontId="9" fillId="13" borderId="2" xfId="0" applyNumberFormat="1" applyFont="1" applyFill="1" applyBorder="1" applyAlignment="1">
      <alignment horizontal="center"/>
    </xf>
    <xf numFmtId="0" fontId="8" fillId="11" borderId="22" xfId="0" applyFont="1" applyFill="1" applyBorder="1"/>
    <xf numFmtId="20" fontId="8" fillId="11" borderId="23" xfId="0" applyNumberFormat="1" applyFont="1" applyFill="1" applyBorder="1"/>
    <xf numFmtId="20" fontId="3" fillId="6" borderId="27" xfId="0" applyNumberFormat="1" applyFont="1" applyFill="1" applyBorder="1" applyAlignment="1">
      <alignment horizontal="center"/>
    </xf>
    <xf numFmtId="1" fontId="8" fillId="10" borderId="16" xfId="0" applyNumberFormat="1" applyFont="1" applyFill="1" applyBorder="1"/>
    <xf numFmtId="20" fontId="3" fillId="5" borderId="28" xfId="0" applyNumberFormat="1" applyFont="1" applyFill="1" applyBorder="1" applyAlignment="1">
      <alignment horizontal="center"/>
    </xf>
    <xf numFmtId="0" fontId="8" fillId="12" borderId="26" xfId="0" applyFont="1" applyFill="1" applyBorder="1"/>
    <xf numFmtId="20" fontId="3" fillId="14" borderId="29" xfId="0" applyNumberFormat="1" applyFont="1" applyFill="1" applyBorder="1" applyAlignment="1">
      <alignment horizontal="center"/>
    </xf>
    <xf numFmtId="0" fontId="8" fillId="8" borderId="16" xfId="0" applyFont="1" applyFill="1" applyBorder="1"/>
    <xf numFmtId="0" fontId="8" fillId="3" borderId="36" xfId="0" applyFont="1" applyFill="1" applyBorder="1"/>
    <xf numFmtId="0" fontId="8" fillId="4" borderId="30" xfId="0" applyFont="1" applyFill="1" applyBorder="1"/>
    <xf numFmtId="0" fontId="9" fillId="13" borderId="2" xfId="0" applyFont="1" applyFill="1" applyBorder="1"/>
    <xf numFmtId="166" fontId="0" fillId="8" borderId="16" xfId="0" applyNumberFormat="1" applyFill="1" applyBorder="1"/>
    <xf numFmtId="0" fontId="15" fillId="7" borderId="16" xfId="0" applyFont="1" applyFill="1" applyBorder="1" applyAlignment="1">
      <alignment vertical="center"/>
    </xf>
    <xf numFmtId="20" fontId="9" fillId="13" borderId="20" xfId="0" applyNumberFormat="1" applyFont="1" applyFill="1" applyBorder="1"/>
    <xf numFmtId="0" fontId="9" fillId="13" borderId="20" xfId="0" applyFont="1" applyFill="1" applyBorder="1"/>
    <xf numFmtId="0" fontId="3" fillId="8" borderId="11" xfId="0" applyFont="1" applyFill="1" applyBorder="1" applyAlignment="1" applyProtection="1">
      <alignment horizontal="center"/>
      <protection locked="0"/>
    </xf>
    <xf numFmtId="0" fontId="3" fillId="3" borderId="11" xfId="0" applyFont="1" applyFill="1" applyBorder="1" applyAlignment="1" applyProtection="1">
      <alignment horizontal="center"/>
      <protection locked="0"/>
    </xf>
    <xf numFmtId="0" fontId="3" fillId="4" borderId="12" xfId="0" applyFont="1" applyFill="1" applyBorder="1" applyAlignment="1" applyProtection="1">
      <alignment horizontal="center"/>
      <protection locked="0"/>
    </xf>
    <xf numFmtId="0" fontId="18" fillId="0" borderId="0" xfId="0" applyFont="1" applyProtection="1">
      <protection locked="0"/>
    </xf>
    <xf numFmtId="0" fontId="11" fillId="13" borderId="3" xfId="0" applyFont="1" applyFill="1" applyBorder="1"/>
    <xf numFmtId="0" fontId="8" fillId="0" borderId="16" xfId="0" applyFont="1" applyBorder="1"/>
    <xf numFmtId="0" fontId="7" fillId="9" borderId="2" xfId="0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 wrapText="1"/>
    </xf>
    <xf numFmtId="0" fontId="2" fillId="9" borderId="11" xfId="0" applyFont="1" applyFill="1" applyBorder="1" applyAlignment="1">
      <alignment horizontal="center" vertical="center"/>
    </xf>
    <xf numFmtId="0" fontId="0" fillId="6" borderId="9" xfId="0" applyFill="1" applyBorder="1" applyProtection="1">
      <protection locked="0"/>
    </xf>
    <xf numFmtId="0" fontId="0" fillId="5" borderId="10" xfId="0" applyFill="1" applyBorder="1" applyProtection="1">
      <protection locked="0"/>
    </xf>
    <xf numFmtId="0" fontId="0" fillId="5" borderId="9" xfId="0" applyFill="1" applyBorder="1" applyProtection="1">
      <protection locked="0"/>
    </xf>
    <xf numFmtId="165" fontId="0" fillId="0" borderId="7" xfId="0" applyNumberFormat="1" applyBorder="1" applyProtection="1">
      <protection locked="0"/>
    </xf>
    <xf numFmtId="0" fontId="0" fillId="6" borderId="6" xfId="0" applyFill="1" applyBorder="1" applyProtection="1">
      <protection locked="0"/>
    </xf>
    <xf numFmtId="1" fontId="12" fillId="9" borderId="0" xfId="0" applyNumberFormat="1" applyFont="1" applyFill="1" applyAlignment="1">
      <alignment horizontal="center"/>
    </xf>
    <xf numFmtId="0" fontId="2" fillId="0" borderId="0" xfId="0" applyFont="1" applyAlignment="1" applyProtection="1">
      <alignment horizontal="center" vertical="center"/>
      <protection locked="0" hidden="1"/>
    </xf>
    <xf numFmtId="0" fontId="0" fillId="0" borderId="0" xfId="0" applyAlignment="1">
      <alignment vertical="center"/>
    </xf>
    <xf numFmtId="0" fontId="9" fillId="9" borderId="3" xfId="0" applyFont="1" applyFill="1" applyBorder="1" applyAlignment="1">
      <alignment horizontal="center" vertical="center" wrapText="1"/>
    </xf>
    <xf numFmtId="0" fontId="9" fillId="9" borderId="13" xfId="0" applyFont="1" applyFill="1" applyBorder="1" applyAlignment="1">
      <alignment horizontal="center" vertical="center" wrapText="1"/>
    </xf>
    <xf numFmtId="0" fontId="10" fillId="9" borderId="33" xfId="0" applyFont="1" applyFill="1" applyBorder="1" applyAlignment="1">
      <alignment horizontal="center" vertical="center"/>
    </xf>
    <xf numFmtId="0" fontId="10" fillId="9" borderId="34" xfId="0" applyFont="1" applyFill="1" applyBorder="1" applyAlignment="1">
      <alignment horizontal="center" vertical="center"/>
    </xf>
    <xf numFmtId="0" fontId="10" fillId="9" borderId="35" xfId="0" applyFont="1" applyFill="1" applyBorder="1" applyAlignment="1">
      <alignment horizontal="center" vertical="center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69D8FF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rgb="FFFFFF00"/>
        </patternFill>
      </fill>
    </dxf>
    <dxf>
      <fill>
        <patternFill patternType="solid">
          <bgColor theme="9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9966"/>
      <color rgb="FFF2A0E0"/>
      <color rgb="FFFF9999"/>
      <color rgb="FFFF33CC"/>
      <color rgb="FFA448B6"/>
      <color rgb="FFAFA1D7"/>
      <color rgb="FF83DDBB"/>
      <color rgb="FF33CCFF"/>
      <color rgb="FFF5CBED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160020</xdr:rowOff>
    </xdr:from>
    <xdr:to>
      <xdr:col>3</xdr:col>
      <xdr:colOff>1463040</xdr:colOff>
      <xdr:row>0</xdr:row>
      <xdr:rowOff>541020</xdr:rowOff>
    </xdr:to>
    <xdr:sp macro="[0]!Sheet1.ClearTrack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E1973E8-E66A-DB14-2D9B-1EA475888CFF}"/>
            </a:ext>
          </a:extLst>
        </xdr:cNvPr>
        <xdr:cNvSpPr/>
      </xdr:nvSpPr>
      <xdr:spPr>
        <a:xfrm>
          <a:off x="3810000" y="160020"/>
          <a:ext cx="1158240" cy="381000"/>
        </a:xfrm>
        <a:prstGeom prst="roundRect">
          <a:avLst/>
        </a:prstGeom>
        <a:solidFill>
          <a:srgbClr val="F2A0E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CC29-8E5B-454D-980B-61D7E92766F1}">
  <sheetPr codeName="Sheet1">
    <tabColor rgb="FFA448B6"/>
  </sheetPr>
  <dimension ref="A1:Z1153"/>
  <sheetViews>
    <sheetView tabSelected="1" workbookViewId="0">
      <pane ySplit="5" topLeftCell="A6" activePane="bottomLeft" state="frozen"/>
      <selection pane="bottomLeft" activeCell="A6" sqref="A6"/>
    </sheetView>
  </sheetViews>
  <sheetFormatPr defaultColWidth="9.109375" defaultRowHeight="14.4" x14ac:dyDescent="0.3"/>
  <cols>
    <col min="1" max="1" width="15.44140625" style="1" customWidth="1"/>
    <col min="2" max="2" width="17.109375" style="1" customWidth="1"/>
    <col min="3" max="3" width="18.5546875" style="1" bestFit="1" customWidth="1"/>
    <col min="4" max="4" width="27.44140625" style="5" customWidth="1"/>
    <col min="5" max="5" width="5.88671875" style="1" customWidth="1"/>
    <col min="6" max="6" width="16" style="1" customWidth="1"/>
    <col min="7" max="7" width="5.88671875" style="1" bestFit="1" customWidth="1"/>
    <col min="8" max="8" width="8.21875" style="1" customWidth="1"/>
    <col min="9" max="9" width="10.44140625" style="1" customWidth="1"/>
    <col min="10" max="10" width="6.88671875" style="1" customWidth="1"/>
    <col min="11" max="11" width="14" style="1" bestFit="1" customWidth="1"/>
    <col min="12" max="12" width="6" style="1" bestFit="1" customWidth="1"/>
    <col min="13" max="13" width="4.5546875" style="1" bestFit="1" customWidth="1"/>
    <col min="14" max="14" width="10.33203125" style="1" customWidth="1"/>
    <col min="15" max="15" width="3.6640625" style="1" bestFit="1" customWidth="1"/>
    <col min="16" max="20" width="9.109375" style="1"/>
    <col min="21" max="24" width="0" style="1" hidden="1" customWidth="1"/>
    <col min="25" max="16384" width="9.109375" style="1"/>
  </cols>
  <sheetData>
    <row r="1" spans="1:26" ht="51.75" customHeight="1" thickTop="1" thickBot="1" x14ac:dyDescent="0.35">
      <c r="A1" s="91" t="s">
        <v>0</v>
      </c>
      <c r="B1" s="91"/>
      <c r="C1" s="91"/>
      <c r="D1" s="91"/>
      <c r="E1" s="83" t="s">
        <v>1</v>
      </c>
      <c r="F1" s="94" t="s">
        <v>2</v>
      </c>
      <c r="G1" s="95"/>
      <c r="H1" s="83" t="s">
        <v>3</v>
      </c>
      <c r="I1" s="84" t="s">
        <v>22</v>
      </c>
      <c r="J1" s="85" t="s">
        <v>1</v>
      </c>
      <c r="K1" s="96" t="s">
        <v>4</v>
      </c>
      <c r="L1" s="97"/>
      <c r="M1" s="98"/>
      <c r="N1" s="92"/>
      <c r="O1" s="93"/>
      <c r="P1" s="22"/>
      <c r="Q1" s="22"/>
      <c r="R1" s="23"/>
      <c r="S1" s="21"/>
      <c r="T1" s="21"/>
      <c r="U1" s="23"/>
      <c r="V1" s="23"/>
      <c r="W1" s="21"/>
      <c r="X1" s="21"/>
      <c r="Y1" s="24"/>
      <c r="Z1" s="19"/>
    </row>
    <row r="2" spans="1:26" ht="29.25" customHeight="1" thickTop="1" thickBot="1" x14ac:dyDescent="0.35">
      <c r="A2" s="91"/>
      <c r="B2" s="91"/>
      <c r="C2" s="91"/>
      <c r="D2" s="91"/>
      <c r="E2" s="41">
        <v>14</v>
      </c>
      <c r="F2" s="38" t="s">
        <v>5</v>
      </c>
      <c r="G2" s="62">
        <f>COUNTIF(B6:B500, "PA-Professional")</f>
        <v>0</v>
      </c>
      <c r="H2" s="63">
        <f>G2/E2/24</f>
        <v>0</v>
      </c>
      <c r="I2" s="64">
        <f>'Downtime Tracker'!M9</f>
        <v>0</v>
      </c>
      <c r="J2" s="77">
        <v>13</v>
      </c>
      <c r="K2" s="45" t="s">
        <v>6</v>
      </c>
      <c r="L2" s="69" cm="1">
        <f t="array" ref="L2">SUM(COUNTIF(C6:C500, {"Valid DF","Other"}))</f>
        <v>0</v>
      </c>
      <c r="M2" s="73">
        <f>L2/J2/24</f>
        <v>0</v>
      </c>
      <c r="N2" s="53" t="s">
        <v>8</v>
      </c>
      <c r="O2" s="74">
        <f>COUNTIF(C6:C500,"Hold/Work Later")</f>
        <v>0</v>
      </c>
      <c r="P2" s="27"/>
      <c r="Q2" s="25"/>
      <c r="R2" s="48"/>
      <c r="S2" s="49"/>
      <c r="T2" s="27"/>
      <c r="U2" s="25"/>
      <c r="V2" s="25"/>
      <c r="W2" s="26"/>
      <c r="X2" s="27"/>
      <c r="Y2" s="28"/>
    </row>
    <row r="3" spans="1:26" ht="28.2" thickTop="1" thickBot="1" x14ac:dyDescent="0.35">
      <c r="A3" s="91"/>
      <c r="B3" s="91"/>
      <c r="C3" s="91"/>
      <c r="D3" s="91"/>
      <c r="E3" s="42">
        <v>11</v>
      </c>
      <c r="F3" s="54" t="s">
        <v>17</v>
      </c>
      <c r="G3" s="65" cm="1">
        <f t="array" ref="G3">SUM(COUNTIF(B6:B500, {"OC-Outpatient","IC-Inpatient","SC-Skilled"}))</f>
        <v>0</v>
      </c>
      <c r="H3" s="63">
        <f t="shared" ref="H3:H4" si="0">G3/E3/24</f>
        <v>0</v>
      </c>
      <c r="I3" s="66">
        <f>'Downtime Tracker'!G12</f>
        <v>0</v>
      </c>
      <c r="J3" s="78">
        <v>15</v>
      </c>
      <c r="K3" s="44" t="s">
        <v>9</v>
      </c>
      <c r="L3" s="70">
        <f>COUNTIF(C6:C500,"Returned CIW")</f>
        <v>0</v>
      </c>
      <c r="M3" s="46"/>
      <c r="N3" s="27"/>
      <c r="P3" s="27"/>
      <c r="Q3" s="25"/>
      <c r="R3" s="25"/>
      <c r="S3" s="26"/>
      <c r="T3" s="27"/>
    </row>
    <row r="4" spans="1:26" ht="16.8" thickTop="1" thickBot="1" x14ac:dyDescent="0.35">
      <c r="A4" s="91"/>
      <c r="B4" s="91"/>
      <c r="C4" s="91"/>
      <c r="D4" s="91"/>
      <c r="E4" s="43">
        <v>8</v>
      </c>
      <c r="F4" s="39" t="s">
        <v>15</v>
      </c>
      <c r="G4" s="67">
        <f>COUNTIF(B6:B500, "Adjustment")</f>
        <v>0</v>
      </c>
      <c r="H4" s="63">
        <f t="shared" si="0"/>
        <v>0</v>
      </c>
      <c r="I4" s="68">
        <f>H5</f>
        <v>0</v>
      </c>
      <c r="J4" s="79">
        <v>15</v>
      </c>
      <c r="K4" s="40" t="s">
        <v>10</v>
      </c>
      <c r="L4" s="71">
        <f>COUNTIF(C6:C500,"Created DF")</f>
        <v>0</v>
      </c>
      <c r="M4" s="47"/>
      <c r="P4" s="27"/>
      <c r="Q4" s="29"/>
      <c r="R4" s="29"/>
      <c r="T4" s="30"/>
    </row>
    <row r="5" spans="1:26" ht="18" customHeight="1" thickBot="1" x14ac:dyDescent="0.45">
      <c r="A5" s="55" t="s">
        <v>21</v>
      </c>
      <c r="B5" s="56" t="s">
        <v>18</v>
      </c>
      <c r="C5" s="57" t="s">
        <v>19</v>
      </c>
      <c r="D5" s="58" t="s">
        <v>20</v>
      </c>
      <c r="E5"/>
      <c r="F5" s="76" t="s">
        <v>11</v>
      </c>
      <c r="G5" s="76">
        <f>SUM(G2:G4)</f>
        <v>0</v>
      </c>
      <c r="H5" s="75">
        <f>SUM(H2:H4)</f>
        <v>0</v>
      </c>
      <c r="I5" s="61">
        <f>'Downtime Tracker'!B8</f>
        <v>0</v>
      </c>
      <c r="J5" s="81"/>
      <c r="K5" s="72" t="s">
        <v>11</v>
      </c>
      <c r="L5" s="72">
        <f>SUM(L2:L4)</f>
        <v>0</v>
      </c>
      <c r="M5" s="82"/>
      <c r="N5" s="10"/>
      <c r="O5" s="10"/>
      <c r="P5" s="31"/>
      <c r="Y5" s="20"/>
      <c r="Z5" s="20"/>
    </row>
    <row r="6" spans="1:26" ht="15.6" thickTop="1" thickBot="1" x14ac:dyDescent="0.35">
      <c r="A6" s="51"/>
      <c r="B6" s="52"/>
      <c r="C6" s="50"/>
      <c r="D6" s="51"/>
      <c r="E6"/>
      <c r="F6"/>
      <c r="G6"/>
      <c r="H6"/>
      <c r="I6" s="2"/>
      <c r="J6"/>
      <c r="K6"/>
      <c r="L6"/>
      <c r="M6"/>
      <c r="N6"/>
      <c r="O6"/>
    </row>
    <row r="7" spans="1:26" ht="15.6" thickTop="1" thickBot="1" x14ac:dyDescent="0.35">
      <c r="A7" s="51"/>
      <c r="B7" s="52"/>
      <c r="C7" s="50"/>
      <c r="D7" s="51"/>
      <c r="E7"/>
      <c r="F7"/>
      <c r="G7"/>
      <c r="H7"/>
      <c r="I7"/>
      <c r="J7"/>
      <c r="K7"/>
      <c r="L7"/>
      <c r="M7"/>
      <c r="N7"/>
      <c r="O7"/>
    </row>
    <row r="8" spans="1:26" ht="15.6" thickTop="1" thickBot="1" x14ac:dyDescent="0.35">
      <c r="A8" s="51"/>
      <c r="B8" s="52"/>
      <c r="C8" s="50"/>
      <c r="D8" s="51"/>
      <c r="E8"/>
      <c r="F8"/>
      <c r="G8"/>
      <c r="H8"/>
      <c r="I8"/>
      <c r="J8"/>
      <c r="K8"/>
      <c r="L8"/>
      <c r="M8"/>
      <c r="N8"/>
      <c r="O8"/>
    </row>
    <row r="9" spans="1:26" ht="15.6" thickTop="1" thickBot="1" x14ac:dyDescent="0.35">
      <c r="A9" s="51"/>
      <c r="B9" s="52"/>
      <c r="C9" s="50"/>
      <c r="D9" s="51"/>
      <c r="E9"/>
      <c r="F9"/>
      <c r="G9"/>
      <c r="H9"/>
      <c r="I9"/>
      <c r="J9"/>
      <c r="K9"/>
      <c r="L9"/>
      <c r="M9"/>
      <c r="N9"/>
      <c r="O9"/>
    </row>
    <row r="10" spans="1:26" ht="15.6" thickTop="1" thickBot="1" x14ac:dyDescent="0.35">
      <c r="A10" s="51"/>
      <c r="B10" s="52"/>
      <c r="C10" s="50"/>
      <c r="D10" s="51"/>
      <c r="E10"/>
      <c r="F10"/>
      <c r="G10"/>
      <c r="H10"/>
      <c r="I10"/>
      <c r="J10"/>
      <c r="K10"/>
      <c r="L10"/>
      <c r="M10"/>
      <c r="N10"/>
      <c r="O10"/>
    </row>
    <row r="11" spans="1:26" ht="15.6" thickTop="1" thickBot="1" x14ac:dyDescent="0.35">
      <c r="A11" s="51"/>
      <c r="B11" s="52"/>
      <c r="C11" s="50"/>
      <c r="D11" s="51"/>
      <c r="E11"/>
      <c r="F11"/>
      <c r="G11"/>
      <c r="H11"/>
      <c r="I11"/>
      <c r="J11"/>
      <c r="K11"/>
      <c r="L11"/>
      <c r="M11"/>
      <c r="N11"/>
      <c r="O11"/>
    </row>
    <row r="12" spans="1:26" ht="15.6" thickTop="1" thickBot="1" x14ac:dyDescent="0.35">
      <c r="A12" s="51"/>
      <c r="B12" s="52"/>
      <c r="C12" s="50"/>
      <c r="D12" s="51"/>
      <c r="E12"/>
      <c r="F12"/>
      <c r="G12"/>
      <c r="H12"/>
      <c r="I12"/>
      <c r="J12"/>
      <c r="K12"/>
      <c r="L12"/>
      <c r="M12"/>
      <c r="N12"/>
      <c r="O12"/>
    </row>
    <row r="13" spans="1:26" ht="15.6" thickTop="1" thickBot="1" x14ac:dyDescent="0.35">
      <c r="A13" s="51"/>
      <c r="B13" s="52"/>
      <c r="C13" s="50"/>
      <c r="D13" s="51"/>
      <c r="E13"/>
      <c r="F13"/>
      <c r="G13"/>
      <c r="H13"/>
      <c r="I13"/>
      <c r="J13"/>
      <c r="K13"/>
      <c r="L13"/>
      <c r="M13"/>
      <c r="N13"/>
      <c r="O13"/>
    </row>
    <row r="14" spans="1:26" ht="15.6" thickTop="1" thickBot="1" x14ac:dyDescent="0.35">
      <c r="A14" s="51"/>
      <c r="B14" s="52"/>
      <c r="C14" s="50"/>
      <c r="D14" s="51"/>
      <c r="E14"/>
      <c r="F14"/>
      <c r="G14"/>
      <c r="H14"/>
      <c r="I14"/>
      <c r="J14"/>
      <c r="K14"/>
      <c r="L14"/>
      <c r="M14"/>
      <c r="N14"/>
      <c r="O14"/>
    </row>
    <row r="15" spans="1:26" ht="15.6" thickTop="1" thickBot="1" x14ac:dyDescent="0.35">
      <c r="A15" s="51"/>
      <c r="B15" s="52"/>
      <c r="C15" s="50"/>
      <c r="D15" s="51"/>
      <c r="E15"/>
      <c r="F15"/>
      <c r="G15"/>
      <c r="H15"/>
      <c r="I15"/>
      <c r="J15"/>
      <c r="K15"/>
      <c r="L15"/>
      <c r="M15"/>
      <c r="N15"/>
      <c r="O15"/>
    </row>
    <row r="16" spans="1:26" ht="15.6" thickTop="1" thickBot="1" x14ac:dyDescent="0.35">
      <c r="A16" s="51"/>
      <c r="B16" s="52"/>
      <c r="C16" s="50"/>
      <c r="D16" s="51"/>
      <c r="E16"/>
      <c r="F16"/>
      <c r="G16"/>
      <c r="H16"/>
      <c r="I16"/>
      <c r="J16"/>
      <c r="K16"/>
      <c r="L16"/>
      <c r="M16"/>
      <c r="N16"/>
      <c r="O16"/>
    </row>
    <row r="17" spans="1:15" ht="15.6" thickTop="1" thickBot="1" x14ac:dyDescent="0.35">
      <c r="A17" s="51"/>
      <c r="B17" s="52"/>
      <c r="C17" s="50"/>
      <c r="D17" s="51"/>
      <c r="E17"/>
      <c r="F17"/>
      <c r="G17"/>
      <c r="H17"/>
      <c r="I17"/>
      <c r="J17"/>
      <c r="K17"/>
      <c r="L17"/>
      <c r="M17"/>
      <c r="N17"/>
      <c r="O17"/>
    </row>
    <row r="18" spans="1:15" ht="15.6" thickTop="1" thickBot="1" x14ac:dyDescent="0.35">
      <c r="A18" s="51"/>
      <c r="B18" s="52"/>
      <c r="C18" s="50"/>
      <c r="D18" s="51"/>
      <c r="E18"/>
      <c r="F18"/>
      <c r="G18"/>
      <c r="H18"/>
      <c r="I18"/>
      <c r="J18"/>
      <c r="K18"/>
      <c r="L18"/>
      <c r="M18"/>
      <c r="N18"/>
      <c r="O18"/>
    </row>
    <row r="19" spans="1:15" ht="15.6" thickTop="1" thickBot="1" x14ac:dyDescent="0.35">
      <c r="A19" s="51"/>
      <c r="B19" s="52"/>
      <c r="C19" s="50"/>
      <c r="D19" s="51"/>
      <c r="E19"/>
      <c r="F19"/>
      <c r="G19"/>
      <c r="H19"/>
      <c r="I19"/>
      <c r="J19"/>
      <c r="K19"/>
      <c r="L19"/>
      <c r="M19"/>
      <c r="N19"/>
      <c r="O19"/>
    </row>
    <row r="20" spans="1:15" ht="15.6" thickTop="1" thickBot="1" x14ac:dyDescent="0.35">
      <c r="A20" s="51"/>
      <c r="B20" s="52"/>
      <c r="C20" s="50"/>
      <c r="D20" s="51"/>
      <c r="E20"/>
      <c r="F20"/>
      <c r="G20"/>
      <c r="H20"/>
      <c r="I20"/>
      <c r="J20"/>
      <c r="K20"/>
      <c r="L20"/>
      <c r="M20"/>
      <c r="N20"/>
      <c r="O20"/>
    </row>
    <row r="21" spans="1:15" ht="15.6" thickTop="1" thickBot="1" x14ac:dyDescent="0.35">
      <c r="A21" s="51"/>
      <c r="B21" s="52"/>
      <c r="C21" s="50"/>
      <c r="D21" s="51"/>
      <c r="E21"/>
      <c r="F21"/>
      <c r="G21"/>
      <c r="H21"/>
      <c r="I21"/>
      <c r="J21"/>
      <c r="K21"/>
      <c r="L21"/>
      <c r="M21"/>
      <c r="N21"/>
      <c r="O21"/>
    </row>
    <row r="22" spans="1:15" ht="15.6" thickTop="1" thickBot="1" x14ac:dyDescent="0.35">
      <c r="A22" s="51"/>
      <c r="B22" s="52"/>
      <c r="C22" s="50"/>
      <c r="D22" s="51"/>
      <c r="E22"/>
      <c r="F22"/>
      <c r="G22"/>
      <c r="H22"/>
      <c r="I22"/>
      <c r="J22"/>
      <c r="K22"/>
      <c r="L22"/>
      <c r="M22"/>
      <c r="N22"/>
      <c r="O22"/>
    </row>
    <row r="23" spans="1:15" ht="15.6" thickTop="1" thickBot="1" x14ac:dyDescent="0.35">
      <c r="A23" s="51"/>
      <c r="B23" s="52"/>
      <c r="C23" s="50"/>
      <c r="D23" s="51"/>
      <c r="E23"/>
      <c r="F23"/>
      <c r="G23"/>
      <c r="H23"/>
      <c r="I23"/>
      <c r="J23"/>
      <c r="K23"/>
      <c r="L23"/>
      <c r="M23"/>
      <c r="N23"/>
      <c r="O23"/>
    </row>
    <row r="24" spans="1:15" ht="15.6" thickTop="1" thickBot="1" x14ac:dyDescent="0.35">
      <c r="A24" s="51"/>
      <c r="B24" s="52"/>
      <c r="C24" s="50"/>
      <c r="D24" s="51"/>
      <c r="E24"/>
      <c r="F24"/>
      <c r="G24"/>
      <c r="H24"/>
      <c r="I24"/>
      <c r="J24"/>
      <c r="K24"/>
      <c r="L24"/>
      <c r="M24"/>
      <c r="N24"/>
      <c r="O24"/>
    </row>
    <row r="25" spans="1:15" ht="15.6" thickTop="1" thickBot="1" x14ac:dyDescent="0.35">
      <c r="A25" s="51"/>
      <c r="B25" s="52"/>
      <c r="C25" s="50"/>
      <c r="D25" s="51"/>
      <c r="E25"/>
      <c r="F25"/>
      <c r="G25"/>
      <c r="H25"/>
      <c r="I25"/>
      <c r="J25"/>
      <c r="K25"/>
      <c r="L25"/>
      <c r="M25"/>
      <c r="N25"/>
      <c r="O25"/>
    </row>
    <row r="26" spans="1:15" ht="15.6" thickTop="1" thickBot="1" x14ac:dyDescent="0.35">
      <c r="A26" s="51"/>
      <c r="B26" s="52"/>
      <c r="C26" s="50"/>
      <c r="D26" s="51"/>
      <c r="E26"/>
      <c r="F26"/>
      <c r="G26"/>
      <c r="H26"/>
      <c r="I26"/>
      <c r="J26"/>
      <c r="K26"/>
      <c r="L26"/>
      <c r="M26"/>
      <c r="N26"/>
      <c r="O26"/>
    </row>
    <row r="27" spans="1:15" ht="15.6" thickTop="1" thickBot="1" x14ac:dyDescent="0.35">
      <c r="A27" s="51"/>
      <c r="B27" s="52"/>
      <c r="C27" s="50"/>
      <c r="D27" s="51"/>
      <c r="E27"/>
      <c r="F27"/>
      <c r="G27"/>
      <c r="H27"/>
      <c r="I27"/>
      <c r="J27"/>
      <c r="K27"/>
      <c r="L27"/>
      <c r="M27"/>
      <c r="N27"/>
      <c r="O27"/>
    </row>
    <row r="28" spans="1:15" ht="15.6" thickTop="1" thickBot="1" x14ac:dyDescent="0.35">
      <c r="A28" s="51"/>
      <c r="B28" s="52"/>
      <c r="C28" s="50"/>
      <c r="D28" s="51"/>
      <c r="E28"/>
      <c r="F28"/>
      <c r="G28"/>
      <c r="H28"/>
      <c r="I28"/>
      <c r="J28"/>
      <c r="K28"/>
      <c r="L28"/>
      <c r="M28"/>
      <c r="N28"/>
      <c r="O28"/>
    </row>
    <row r="29" spans="1:15" ht="15.6" thickTop="1" thickBot="1" x14ac:dyDescent="0.35">
      <c r="A29" s="51"/>
      <c r="B29" s="52"/>
      <c r="C29" s="50"/>
      <c r="D29" s="51"/>
      <c r="E29"/>
      <c r="F29"/>
      <c r="G29"/>
      <c r="H29"/>
      <c r="I29"/>
      <c r="J29"/>
      <c r="K29"/>
      <c r="L29"/>
      <c r="M29"/>
      <c r="N29"/>
      <c r="O29"/>
    </row>
    <row r="30" spans="1:15" ht="15.6" thickTop="1" thickBot="1" x14ac:dyDescent="0.35">
      <c r="A30" s="51"/>
      <c r="B30" s="52"/>
      <c r="C30" s="50"/>
      <c r="D30" s="51"/>
      <c r="E30"/>
      <c r="F30"/>
      <c r="G30"/>
      <c r="H30"/>
      <c r="I30"/>
      <c r="J30"/>
      <c r="K30"/>
      <c r="L30"/>
      <c r="M30"/>
      <c r="N30"/>
      <c r="O30"/>
    </row>
    <row r="31" spans="1:15" ht="15.6" thickTop="1" thickBot="1" x14ac:dyDescent="0.35">
      <c r="A31" s="51"/>
      <c r="B31" s="52"/>
      <c r="C31" s="50"/>
      <c r="D31" s="51"/>
      <c r="E31"/>
      <c r="F31"/>
      <c r="G31"/>
      <c r="H31"/>
      <c r="I31"/>
      <c r="J31"/>
      <c r="K31"/>
      <c r="L31"/>
      <c r="M31"/>
      <c r="N31"/>
      <c r="O31"/>
    </row>
    <row r="32" spans="1:15" ht="15.6" thickTop="1" thickBot="1" x14ac:dyDescent="0.35">
      <c r="A32" s="51"/>
      <c r="B32" s="52"/>
      <c r="C32" s="50"/>
      <c r="D32" s="51"/>
      <c r="E32"/>
      <c r="F32"/>
      <c r="G32"/>
      <c r="H32"/>
      <c r="I32"/>
      <c r="J32"/>
      <c r="K32"/>
      <c r="L32"/>
      <c r="M32"/>
      <c r="N32"/>
      <c r="O32"/>
    </row>
    <row r="33" spans="1:15" ht="15.6" thickTop="1" thickBot="1" x14ac:dyDescent="0.35">
      <c r="A33" s="51"/>
      <c r="B33" s="52"/>
      <c r="C33" s="50"/>
      <c r="D33" s="51"/>
      <c r="E33"/>
      <c r="F33"/>
      <c r="G33"/>
      <c r="H33"/>
      <c r="I33"/>
      <c r="J33"/>
      <c r="K33"/>
      <c r="L33"/>
      <c r="M33"/>
      <c r="N33"/>
      <c r="O33"/>
    </row>
    <row r="34" spans="1:15" ht="15.6" thickTop="1" thickBot="1" x14ac:dyDescent="0.35">
      <c r="A34" s="51"/>
      <c r="B34" s="52"/>
      <c r="C34" s="50"/>
      <c r="D34" s="51"/>
      <c r="E34"/>
      <c r="F34"/>
      <c r="G34"/>
      <c r="H34"/>
      <c r="I34"/>
      <c r="J34"/>
      <c r="K34"/>
      <c r="L34"/>
      <c r="M34"/>
      <c r="N34"/>
      <c r="O34"/>
    </row>
    <row r="35" spans="1:15" ht="15.6" thickTop="1" thickBot="1" x14ac:dyDescent="0.35">
      <c r="A35" s="51"/>
      <c r="B35" s="52"/>
      <c r="C35" s="50"/>
      <c r="D35" s="51"/>
      <c r="E35"/>
      <c r="F35"/>
      <c r="G35"/>
      <c r="H35"/>
      <c r="I35"/>
      <c r="J35"/>
      <c r="K35"/>
      <c r="L35"/>
      <c r="M35"/>
      <c r="N35"/>
      <c r="O35"/>
    </row>
    <row r="36" spans="1:15" ht="15.6" thickTop="1" thickBot="1" x14ac:dyDescent="0.35">
      <c r="A36" s="51"/>
      <c r="B36" s="52"/>
      <c r="C36" s="50"/>
      <c r="D36" s="51"/>
      <c r="E36"/>
      <c r="F36"/>
      <c r="G36"/>
      <c r="H36"/>
      <c r="I36"/>
      <c r="J36"/>
      <c r="K36"/>
      <c r="L36"/>
      <c r="M36"/>
      <c r="N36"/>
      <c r="O36"/>
    </row>
    <row r="37" spans="1:15" ht="15.6" thickTop="1" thickBot="1" x14ac:dyDescent="0.35">
      <c r="A37" s="51"/>
      <c r="B37" s="52"/>
      <c r="C37" s="50"/>
      <c r="D37" s="51"/>
      <c r="E37"/>
      <c r="F37"/>
      <c r="G37"/>
      <c r="H37"/>
      <c r="I37"/>
      <c r="J37"/>
      <c r="K37"/>
      <c r="L37"/>
      <c r="M37"/>
      <c r="N37"/>
      <c r="O37"/>
    </row>
    <row r="38" spans="1:15" ht="15.6" thickTop="1" thickBot="1" x14ac:dyDescent="0.35">
      <c r="A38" s="51"/>
      <c r="B38" s="52"/>
      <c r="C38" s="50"/>
      <c r="D38" s="51"/>
      <c r="E38"/>
      <c r="F38"/>
      <c r="G38"/>
      <c r="H38"/>
      <c r="I38"/>
      <c r="J38"/>
      <c r="K38"/>
      <c r="L38"/>
      <c r="M38"/>
      <c r="N38"/>
      <c r="O38"/>
    </row>
    <row r="39" spans="1:15" ht="15.6" thickTop="1" thickBot="1" x14ac:dyDescent="0.35">
      <c r="A39" s="51"/>
      <c r="B39" s="52"/>
      <c r="C39" s="50"/>
      <c r="D39" s="51"/>
      <c r="E39"/>
      <c r="F39"/>
      <c r="G39"/>
      <c r="H39"/>
      <c r="I39"/>
      <c r="J39"/>
      <c r="K39"/>
      <c r="L39"/>
      <c r="M39"/>
      <c r="N39"/>
      <c r="O39"/>
    </row>
    <row r="40" spans="1:15" ht="15.6" thickTop="1" thickBot="1" x14ac:dyDescent="0.35">
      <c r="A40" s="51"/>
      <c r="B40" s="52"/>
      <c r="C40" s="50"/>
      <c r="D40" s="51"/>
      <c r="E40"/>
      <c r="F40"/>
      <c r="G40"/>
      <c r="H40"/>
      <c r="I40"/>
      <c r="J40"/>
      <c r="K40"/>
      <c r="L40"/>
      <c r="M40"/>
      <c r="N40"/>
      <c r="O40"/>
    </row>
    <row r="41" spans="1:15" ht="15.6" thickTop="1" thickBot="1" x14ac:dyDescent="0.35">
      <c r="A41" s="51"/>
      <c r="B41" s="52"/>
      <c r="C41" s="50"/>
      <c r="D41" s="51"/>
      <c r="E41"/>
      <c r="F41"/>
      <c r="G41"/>
      <c r="H41"/>
      <c r="I41"/>
      <c r="J41"/>
      <c r="K41"/>
      <c r="L41"/>
      <c r="M41"/>
      <c r="N41"/>
      <c r="O41"/>
    </row>
    <row r="42" spans="1:15" ht="15.6" thickTop="1" thickBot="1" x14ac:dyDescent="0.35">
      <c r="A42" s="51"/>
      <c r="B42" s="52"/>
      <c r="C42" s="50"/>
      <c r="D42" s="51"/>
      <c r="E42"/>
      <c r="F42"/>
      <c r="G42"/>
      <c r="H42"/>
      <c r="I42"/>
      <c r="J42"/>
      <c r="K42"/>
      <c r="L42"/>
      <c r="M42"/>
      <c r="N42"/>
      <c r="O42"/>
    </row>
    <row r="43" spans="1:15" ht="15.6" thickTop="1" thickBot="1" x14ac:dyDescent="0.35">
      <c r="A43" s="51"/>
      <c r="B43" s="52"/>
      <c r="C43" s="50"/>
      <c r="D43" s="51"/>
      <c r="E43"/>
      <c r="F43"/>
      <c r="G43"/>
      <c r="H43"/>
      <c r="I43"/>
      <c r="J43"/>
      <c r="K43"/>
      <c r="L43"/>
      <c r="M43"/>
      <c r="N43"/>
      <c r="O43"/>
    </row>
    <row r="44" spans="1:15" ht="15.6" thickTop="1" thickBot="1" x14ac:dyDescent="0.35">
      <c r="A44" s="51"/>
      <c r="B44" s="52"/>
      <c r="C44" s="50"/>
      <c r="D44" s="51"/>
      <c r="E44"/>
      <c r="F44"/>
      <c r="G44"/>
      <c r="H44"/>
      <c r="I44"/>
      <c r="J44"/>
      <c r="K44"/>
      <c r="L44"/>
      <c r="M44"/>
      <c r="N44"/>
      <c r="O44"/>
    </row>
    <row r="45" spans="1:15" ht="15.6" thickTop="1" thickBot="1" x14ac:dyDescent="0.35">
      <c r="A45" s="51"/>
      <c r="B45" s="52"/>
      <c r="C45" s="50"/>
      <c r="D45" s="51"/>
      <c r="E45"/>
      <c r="F45"/>
      <c r="G45"/>
      <c r="H45"/>
      <c r="I45"/>
      <c r="J45"/>
      <c r="K45"/>
      <c r="L45"/>
      <c r="M45"/>
      <c r="N45"/>
      <c r="O45"/>
    </row>
    <row r="46" spans="1:15" ht="15.6" thickTop="1" thickBot="1" x14ac:dyDescent="0.35">
      <c r="A46" s="51"/>
      <c r="B46" s="52"/>
      <c r="C46" s="50"/>
      <c r="D46" s="51"/>
      <c r="E46"/>
      <c r="F46"/>
      <c r="G46"/>
      <c r="H46"/>
      <c r="I46"/>
      <c r="J46"/>
      <c r="K46"/>
      <c r="L46"/>
      <c r="M46"/>
      <c r="N46"/>
      <c r="O46"/>
    </row>
    <row r="47" spans="1:15" ht="15.6" thickTop="1" thickBot="1" x14ac:dyDescent="0.35">
      <c r="A47" s="51"/>
      <c r="B47" s="52"/>
      <c r="C47" s="50"/>
      <c r="D47" s="51"/>
      <c r="E47"/>
      <c r="F47"/>
      <c r="G47"/>
      <c r="H47"/>
      <c r="I47"/>
      <c r="J47"/>
      <c r="K47"/>
      <c r="L47"/>
      <c r="M47"/>
      <c r="N47"/>
      <c r="O47"/>
    </row>
    <row r="48" spans="1:15" ht="15.6" thickTop="1" thickBot="1" x14ac:dyDescent="0.35">
      <c r="A48" s="51"/>
      <c r="B48" s="52"/>
      <c r="C48" s="50"/>
      <c r="D48" s="51"/>
      <c r="E48"/>
      <c r="F48"/>
      <c r="G48"/>
      <c r="H48"/>
      <c r="I48"/>
      <c r="J48"/>
      <c r="K48"/>
      <c r="L48"/>
      <c r="M48"/>
      <c r="N48"/>
      <c r="O48"/>
    </row>
    <row r="49" spans="1:15" ht="15.6" thickTop="1" thickBot="1" x14ac:dyDescent="0.35">
      <c r="A49" s="51"/>
      <c r="B49" s="52"/>
      <c r="C49" s="50"/>
      <c r="D49" s="51"/>
      <c r="E49"/>
      <c r="F49"/>
      <c r="G49"/>
      <c r="H49"/>
      <c r="I49"/>
      <c r="J49"/>
      <c r="K49"/>
      <c r="L49"/>
      <c r="M49"/>
      <c r="N49"/>
      <c r="O49"/>
    </row>
    <row r="50" spans="1:15" ht="15.6" thickTop="1" thickBot="1" x14ac:dyDescent="0.35">
      <c r="A50" s="51"/>
      <c r="B50" s="52"/>
      <c r="C50" s="50"/>
      <c r="D50" s="51"/>
      <c r="E50"/>
      <c r="F50"/>
      <c r="G50"/>
      <c r="H50"/>
      <c r="I50"/>
      <c r="J50"/>
      <c r="K50"/>
      <c r="L50"/>
      <c r="M50"/>
      <c r="N50"/>
      <c r="O50"/>
    </row>
    <row r="51" spans="1:15" ht="15.6" thickTop="1" thickBot="1" x14ac:dyDescent="0.35">
      <c r="A51" s="51"/>
      <c r="B51" s="52"/>
      <c r="C51" s="50"/>
      <c r="D51" s="51"/>
      <c r="E51"/>
      <c r="F51"/>
      <c r="G51"/>
      <c r="H51"/>
      <c r="I51"/>
      <c r="J51"/>
      <c r="K51"/>
      <c r="L51"/>
      <c r="M51"/>
      <c r="N51"/>
      <c r="O51"/>
    </row>
    <row r="52" spans="1:15" ht="15.6" thickTop="1" thickBot="1" x14ac:dyDescent="0.35">
      <c r="A52" s="51"/>
      <c r="B52" s="52"/>
      <c r="C52" s="50"/>
      <c r="D52" s="51"/>
      <c r="E52"/>
      <c r="F52"/>
      <c r="G52"/>
      <c r="H52"/>
      <c r="I52"/>
      <c r="J52"/>
      <c r="K52"/>
      <c r="L52"/>
      <c r="M52"/>
      <c r="N52"/>
      <c r="O52"/>
    </row>
    <row r="53" spans="1:15" ht="15.6" thickTop="1" thickBot="1" x14ac:dyDescent="0.35">
      <c r="A53" s="51"/>
      <c r="B53" s="52"/>
      <c r="C53" s="50"/>
      <c r="D53" s="51"/>
      <c r="E53"/>
      <c r="F53"/>
      <c r="G53"/>
      <c r="H53"/>
      <c r="I53"/>
      <c r="J53"/>
      <c r="K53"/>
      <c r="L53"/>
      <c r="M53"/>
      <c r="N53"/>
      <c r="O53"/>
    </row>
    <row r="54" spans="1:15" ht="15.6" thickTop="1" thickBot="1" x14ac:dyDescent="0.35">
      <c r="A54" s="51"/>
      <c r="B54" s="52"/>
      <c r="C54" s="50"/>
      <c r="D54" s="51"/>
      <c r="E54"/>
      <c r="F54"/>
      <c r="G54"/>
      <c r="H54"/>
      <c r="I54"/>
      <c r="J54"/>
      <c r="K54"/>
      <c r="L54"/>
      <c r="M54"/>
      <c r="N54"/>
      <c r="O54"/>
    </row>
    <row r="55" spans="1:15" ht="15.6" thickTop="1" thickBot="1" x14ac:dyDescent="0.35">
      <c r="A55" s="51"/>
      <c r="B55" s="52"/>
      <c r="C55" s="50"/>
      <c r="D55" s="51"/>
      <c r="E55"/>
      <c r="F55"/>
      <c r="G55"/>
      <c r="H55"/>
      <c r="I55"/>
      <c r="J55"/>
      <c r="K55"/>
      <c r="L55"/>
      <c r="M55"/>
      <c r="N55"/>
      <c r="O55"/>
    </row>
    <row r="56" spans="1:15" ht="15.6" thickTop="1" thickBot="1" x14ac:dyDescent="0.35">
      <c r="A56" s="51"/>
      <c r="B56" s="52"/>
      <c r="C56" s="50"/>
      <c r="D56" s="51"/>
      <c r="E56"/>
      <c r="F56"/>
      <c r="G56"/>
      <c r="H56"/>
      <c r="I56"/>
      <c r="J56"/>
      <c r="K56"/>
      <c r="L56"/>
      <c r="M56"/>
      <c r="N56"/>
      <c r="O56"/>
    </row>
    <row r="57" spans="1:15" ht="15.6" thickTop="1" thickBot="1" x14ac:dyDescent="0.35">
      <c r="A57" s="51"/>
      <c r="B57" s="52"/>
      <c r="C57" s="50"/>
      <c r="D57" s="51"/>
      <c r="E57"/>
      <c r="F57"/>
      <c r="G57"/>
      <c r="H57"/>
      <c r="I57"/>
      <c r="J57"/>
      <c r="K57"/>
      <c r="L57"/>
      <c r="M57"/>
      <c r="N57"/>
      <c r="O57"/>
    </row>
    <row r="58" spans="1:15" ht="15.6" thickTop="1" thickBot="1" x14ac:dyDescent="0.35">
      <c r="A58" s="51"/>
      <c r="B58" s="52"/>
      <c r="C58" s="50"/>
      <c r="D58" s="51"/>
      <c r="E58"/>
      <c r="F58"/>
      <c r="G58"/>
      <c r="H58"/>
      <c r="I58"/>
      <c r="J58"/>
      <c r="K58"/>
      <c r="L58"/>
      <c r="M58"/>
      <c r="N58"/>
      <c r="O58"/>
    </row>
    <row r="59" spans="1:15" ht="15.6" thickTop="1" thickBot="1" x14ac:dyDescent="0.35">
      <c r="A59" s="51"/>
      <c r="B59" s="52"/>
      <c r="C59" s="50"/>
      <c r="D59" s="51"/>
      <c r="E59"/>
      <c r="F59"/>
      <c r="G59"/>
      <c r="H59"/>
      <c r="I59"/>
      <c r="J59"/>
      <c r="K59"/>
      <c r="L59"/>
      <c r="M59"/>
      <c r="N59"/>
      <c r="O59"/>
    </row>
    <row r="60" spans="1:15" ht="15.6" thickTop="1" thickBot="1" x14ac:dyDescent="0.35">
      <c r="A60" s="51"/>
      <c r="B60" s="52"/>
      <c r="C60" s="50"/>
      <c r="D60" s="51"/>
      <c r="E60"/>
      <c r="F60"/>
      <c r="G60"/>
      <c r="H60"/>
      <c r="I60"/>
      <c r="J60"/>
      <c r="K60"/>
      <c r="L60"/>
      <c r="M60"/>
      <c r="N60"/>
      <c r="O60"/>
    </row>
    <row r="61" spans="1:15" ht="15.6" thickTop="1" thickBot="1" x14ac:dyDescent="0.35">
      <c r="A61" s="51"/>
      <c r="B61" s="52"/>
      <c r="C61" s="50"/>
      <c r="D61" s="51"/>
      <c r="E61"/>
      <c r="F61"/>
      <c r="G61"/>
      <c r="H61"/>
      <c r="I61"/>
      <c r="J61"/>
      <c r="K61"/>
      <c r="L61"/>
      <c r="M61"/>
      <c r="N61"/>
      <c r="O61"/>
    </row>
    <row r="62" spans="1:15" ht="15.6" thickTop="1" thickBot="1" x14ac:dyDescent="0.35">
      <c r="A62" s="51"/>
      <c r="B62" s="52"/>
      <c r="C62" s="51"/>
      <c r="D62" s="51"/>
      <c r="E62"/>
      <c r="F62"/>
      <c r="G62"/>
      <c r="H62"/>
      <c r="I62"/>
      <c r="J62"/>
      <c r="K62"/>
      <c r="L62"/>
      <c r="M62"/>
      <c r="N62"/>
      <c r="O62"/>
    </row>
    <row r="63" spans="1:15" ht="15.6" thickTop="1" thickBot="1" x14ac:dyDescent="0.35">
      <c r="A63" s="51"/>
      <c r="B63" s="52"/>
      <c r="C63" s="51"/>
      <c r="D63" s="51"/>
      <c r="E63"/>
      <c r="F63"/>
      <c r="G63"/>
      <c r="H63"/>
      <c r="I63"/>
      <c r="J63"/>
      <c r="K63"/>
      <c r="L63"/>
      <c r="M63"/>
      <c r="N63"/>
      <c r="O63"/>
    </row>
    <row r="64" spans="1:15" ht="15.6" thickTop="1" thickBot="1" x14ac:dyDescent="0.35">
      <c r="A64" s="51"/>
      <c r="B64" s="52"/>
      <c r="C64" s="51"/>
      <c r="D64" s="51"/>
      <c r="E64"/>
      <c r="F64"/>
      <c r="G64"/>
      <c r="H64"/>
      <c r="I64"/>
      <c r="J64"/>
      <c r="K64"/>
      <c r="L64"/>
      <c r="M64"/>
      <c r="N64"/>
      <c r="O64"/>
    </row>
    <row r="65" spans="1:15" ht="15.6" thickTop="1" thickBot="1" x14ac:dyDescent="0.35">
      <c r="A65" s="51"/>
      <c r="B65" s="52"/>
      <c r="C65" s="51"/>
      <c r="D65" s="51"/>
      <c r="E65"/>
      <c r="F65"/>
      <c r="G65"/>
      <c r="H65"/>
      <c r="I65"/>
      <c r="J65"/>
      <c r="K65"/>
      <c r="L65"/>
      <c r="M65"/>
      <c r="N65"/>
      <c r="O65"/>
    </row>
    <row r="66" spans="1:15" ht="15.6" thickTop="1" thickBot="1" x14ac:dyDescent="0.35">
      <c r="A66" s="51"/>
      <c r="B66" s="52"/>
      <c r="C66" s="51"/>
      <c r="D66" s="51"/>
      <c r="E66"/>
      <c r="F66"/>
      <c r="G66"/>
      <c r="H66"/>
      <c r="I66"/>
      <c r="J66"/>
      <c r="K66"/>
      <c r="L66"/>
      <c r="M66"/>
      <c r="N66"/>
      <c r="O66"/>
    </row>
    <row r="67" spans="1:15" ht="15.6" thickTop="1" thickBot="1" x14ac:dyDescent="0.35">
      <c r="A67" s="51"/>
      <c r="B67" s="52"/>
      <c r="C67" s="51"/>
      <c r="D67" s="51"/>
      <c r="E67"/>
      <c r="F67"/>
      <c r="G67"/>
      <c r="H67"/>
      <c r="I67"/>
      <c r="J67"/>
      <c r="K67"/>
      <c r="L67"/>
      <c r="M67"/>
      <c r="N67"/>
      <c r="O67"/>
    </row>
    <row r="68" spans="1:15" ht="15.6" thickTop="1" thickBot="1" x14ac:dyDescent="0.35">
      <c r="A68" s="51"/>
      <c r="B68" s="52"/>
      <c r="C68" s="51"/>
      <c r="D68" s="51"/>
      <c r="E68"/>
      <c r="F68"/>
      <c r="G68"/>
      <c r="H68"/>
      <c r="I68"/>
      <c r="J68"/>
      <c r="K68"/>
      <c r="L68"/>
      <c r="M68"/>
      <c r="N68"/>
      <c r="O68"/>
    </row>
    <row r="69" spans="1:15" ht="15.6" thickTop="1" thickBot="1" x14ac:dyDescent="0.35">
      <c r="A69" s="51"/>
      <c r="B69" s="52"/>
      <c r="C69" s="51"/>
      <c r="D69" s="51"/>
      <c r="E69"/>
      <c r="F69"/>
      <c r="G69"/>
      <c r="H69"/>
      <c r="I69"/>
      <c r="J69"/>
      <c r="K69"/>
      <c r="L69"/>
      <c r="M69"/>
      <c r="N69"/>
      <c r="O69"/>
    </row>
    <row r="70" spans="1:15" ht="15.6" thickTop="1" thickBot="1" x14ac:dyDescent="0.35">
      <c r="A70" s="51"/>
      <c r="B70" s="52"/>
      <c r="C70" s="50"/>
      <c r="D70" s="51"/>
      <c r="E70"/>
      <c r="F70"/>
      <c r="G70"/>
      <c r="H70"/>
      <c r="I70"/>
      <c r="J70"/>
      <c r="K70"/>
      <c r="L70"/>
      <c r="M70"/>
      <c r="N70"/>
      <c r="O70"/>
    </row>
    <row r="71" spans="1:15" ht="15.6" thickTop="1" thickBot="1" x14ac:dyDescent="0.35">
      <c r="A71" s="51"/>
      <c r="B71" s="52"/>
      <c r="C71" s="50"/>
      <c r="D71" s="51"/>
      <c r="E71"/>
      <c r="F71"/>
      <c r="G71"/>
      <c r="H71"/>
      <c r="I71"/>
      <c r="J71"/>
      <c r="K71"/>
      <c r="L71"/>
      <c r="M71"/>
      <c r="N71"/>
      <c r="O71"/>
    </row>
    <row r="72" spans="1:15" ht="15.6" thickTop="1" thickBot="1" x14ac:dyDescent="0.35">
      <c r="A72" s="51"/>
      <c r="B72" s="52"/>
      <c r="C72" s="50"/>
      <c r="D72" s="51"/>
      <c r="E72"/>
      <c r="F72"/>
      <c r="G72"/>
      <c r="H72"/>
      <c r="I72"/>
      <c r="J72"/>
      <c r="K72"/>
      <c r="L72"/>
      <c r="M72"/>
      <c r="N72"/>
      <c r="O72"/>
    </row>
    <row r="73" spans="1:15" ht="15.6" thickTop="1" thickBot="1" x14ac:dyDescent="0.35">
      <c r="A73" s="51"/>
      <c r="B73" s="52"/>
      <c r="C73" s="50"/>
      <c r="D73" s="51"/>
      <c r="E73"/>
      <c r="F73"/>
      <c r="G73"/>
      <c r="H73"/>
      <c r="I73"/>
      <c r="J73"/>
      <c r="K73"/>
      <c r="L73"/>
      <c r="M73"/>
      <c r="N73"/>
      <c r="O73"/>
    </row>
    <row r="74" spans="1:15" ht="15.6" thickTop="1" thickBot="1" x14ac:dyDescent="0.35">
      <c r="A74" s="51"/>
      <c r="B74" s="52"/>
      <c r="C74" s="50"/>
      <c r="D74" s="51"/>
      <c r="E74"/>
      <c r="F74"/>
      <c r="G74"/>
      <c r="H74"/>
      <c r="I74"/>
      <c r="J74"/>
      <c r="K74"/>
      <c r="L74"/>
      <c r="M74"/>
      <c r="N74"/>
      <c r="O74"/>
    </row>
    <row r="75" spans="1:15" ht="15.6" thickTop="1" thickBot="1" x14ac:dyDescent="0.35">
      <c r="A75" s="51"/>
      <c r="B75" s="52"/>
      <c r="C75" s="50"/>
      <c r="D75" s="51"/>
      <c r="E75"/>
      <c r="F75"/>
      <c r="G75"/>
      <c r="H75"/>
      <c r="I75"/>
      <c r="J75"/>
      <c r="K75"/>
      <c r="L75"/>
      <c r="M75"/>
      <c r="N75"/>
      <c r="O75"/>
    </row>
    <row r="76" spans="1:15" ht="15.6" thickTop="1" thickBot="1" x14ac:dyDescent="0.35">
      <c r="A76" s="51"/>
      <c r="B76" s="52"/>
      <c r="C76" s="50"/>
      <c r="D76" s="51"/>
      <c r="E76"/>
      <c r="F76"/>
      <c r="G76"/>
      <c r="H76"/>
      <c r="I76"/>
      <c r="J76"/>
      <c r="K76"/>
      <c r="L76"/>
      <c r="M76"/>
      <c r="N76"/>
      <c r="O76"/>
    </row>
    <row r="77" spans="1:15" ht="15.6" thickTop="1" thickBot="1" x14ac:dyDescent="0.35">
      <c r="A77" s="51"/>
      <c r="B77" s="52"/>
      <c r="C77" s="50"/>
      <c r="D77" s="51"/>
      <c r="E77"/>
      <c r="F77"/>
      <c r="G77"/>
      <c r="H77"/>
      <c r="I77"/>
      <c r="J77"/>
      <c r="K77"/>
      <c r="L77"/>
      <c r="M77"/>
      <c r="N77"/>
      <c r="O77"/>
    </row>
    <row r="78" spans="1:15" ht="15.6" thickTop="1" thickBot="1" x14ac:dyDescent="0.35">
      <c r="A78" s="51"/>
      <c r="B78" s="52"/>
      <c r="C78" s="50"/>
      <c r="D78" s="51"/>
      <c r="E78"/>
      <c r="F78"/>
      <c r="G78"/>
      <c r="H78"/>
      <c r="I78"/>
      <c r="J78"/>
      <c r="K78"/>
      <c r="L78"/>
      <c r="M78"/>
      <c r="N78"/>
      <c r="O78"/>
    </row>
    <row r="79" spans="1:15" ht="15.6" thickTop="1" thickBot="1" x14ac:dyDescent="0.35">
      <c r="A79" s="51"/>
      <c r="B79" s="52"/>
      <c r="C79" s="50"/>
      <c r="D79" s="51"/>
      <c r="E79"/>
      <c r="F79"/>
      <c r="G79"/>
      <c r="H79"/>
      <c r="I79"/>
      <c r="J79"/>
      <c r="K79"/>
      <c r="L79"/>
      <c r="M79"/>
      <c r="N79"/>
      <c r="O79"/>
    </row>
    <row r="80" spans="1:15" ht="15.6" thickTop="1" thickBot="1" x14ac:dyDescent="0.35">
      <c r="A80" s="51"/>
      <c r="B80" s="52"/>
      <c r="C80" s="50"/>
      <c r="D80" s="51"/>
      <c r="E80"/>
      <c r="F80"/>
      <c r="G80"/>
      <c r="H80"/>
      <c r="I80"/>
      <c r="J80"/>
      <c r="K80"/>
      <c r="L80"/>
      <c r="M80"/>
      <c r="N80"/>
      <c r="O80"/>
    </row>
    <row r="81" spans="1:15" ht="15.6" thickTop="1" thickBot="1" x14ac:dyDescent="0.35">
      <c r="A81" s="51"/>
      <c r="B81" s="52"/>
      <c r="C81" s="50"/>
      <c r="D81" s="51"/>
      <c r="E81"/>
      <c r="F81"/>
      <c r="G81"/>
      <c r="H81"/>
      <c r="I81"/>
      <c r="J81"/>
      <c r="K81"/>
      <c r="L81"/>
      <c r="M81"/>
      <c r="N81"/>
      <c r="O81"/>
    </row>
    <row r="82" spans="1:15" ht="15.6" thickTop="1" thickBot="1" x14ac:dyDescent="0.35">
      <c r="A82" s="51"/>
      <c r="B82" s="52"/>
      <c r="C82" s="50"/>
      <c r="D82" s="51"/>
      <c r="E82"/>
      <c r="F82"/>
      <c r="G82"/>
      <c r="H82"/>
      <c r="I82"/>
      <c r="J82"/>
      <c r="K82"/>
      <c r="L82"/>
      <c r="M82"/>
      <c r="N82"/>
      <c r="O82"/>
    </row>
    <row r="83" spans="1:15" ht="15.6" thickTop="1" thickBot="1" x14ac:dyDescent="0.35">
      <c r="A83" s="51"/>
      <c r="B83" s="52"/>
      <c r="C83" s="50"/>
      <c r="D83" s="51"/>
      <c r="E83"/>
      <c r="F83"/>
      <c r="G83"/>
      <c r="H83"/>
      <c r="I83"/>
      <c r="J83"/>
      <c r="K83"/>
      <c r="L83"/>
      <c r="M83"/>
      <c r="N83"/>
      <c r="O83"/>
    </row>
    <row r="84" spans="1:15" ht="15.6" thickTop="1" thickBot="1" x14ac:dyDescent="0.35">
      <c r="A84" s="51"/>
      <c r="B84" s="52"/>
      <c r="C84" s="50"/>
      <c r="D84" s="51"/>
      <c r="E84"/>
      <c r="F84"/>
      <c r="G84"/>
      <c r="H84"/>
      <c r="I84"/>
      <c r="J84"/>
      <c r="K84"/>
      <c r="L84"/>
      <c r="M84"/>
      <c r="N84"/>
      <c r="O84"/>
    </row>
    <row r="85" spans="1:15" ht="15.6" thickTop="1" thickBot="1" x14ac:dyDescent="0.35">
      <c r="A85" s="51"/>
      <c r="B85" s="52"/>
      <c r="C85" s="50"/>
      <c r="D85" s="51"/>
      <c r="E85"/>
      <c r="F85"/>
      <c r="G85"/>
      <c r="H85"/>
      <c r="I85"/>
      <c r="J85"/>
      <c r="K85"/>
      <c r="L85"/>
      <c r="M85"/>
      <c r="N85"/>
      <c r="O85"/>
    </row>
    <row r="86" spans="1:15" ht="15.6" thickTop="1" thickBot="1" x14ac:dyDescent="0.35">
      <c r="A86" s="51"/>
      <c r="B86" s="52"/>
      <c r="C86" s="50"/>
      <c r="D86" s="51"/>
      <c r="E86"/>
      <c r="F86"/>
      <c r="G86"/>
      <c r="H86"/>
      <c r="I86"/>
      <c r="J86"/>
      <c r="K86"/>
      <c r="L86"/>
      <c r="M86"/>
      <c r="N86"/>
      <c r="O86"/>
    </row>
    <row r="87" spans="1:15" ht="15.6" thickTop="1" thickBot="1" x14ac:dyDescent="0.35">
      <c r="A87" s="51"/>
      <c r="B87" s="52"/>
      <c r="C87" s="50"/>
      <c r="D87" s="51"/>
      <c r="E87"/>
      <c r="F87"/>
      <c r="G87"/>
      <c r="H87"/>
      <c r="I87"/>
      <c r="J87"/>
      <c r="K87"/>
      <c r="L87"/>
      <c r="M87"/>
      <c r="N87"/>
      <c r="O87"/>
    </row>
    <row r="88" spans="1:15" ht="15.6" thickTop="1" thickBot="1" x14ac:dyDescent="0.35">
      <c r="A88" s="51"/>
      <c r="B88" s="52"/>
      <c r="C88" s="50"/>
      <c r="D88" s="51"/>
      <c r="E88"/>
      <c r="F88"/>
      <c r="G88"/>
      <c r="H88"/>
      <c r="I88"/>
      <c r="J88"/>
      <c r="K88"/>
      <c r="L88"/>
      <c r="M88"/>
      <c r="N88"/>
      <c r="O88"/>
    </row>
    <row r="89" spans="1:15" ht="15.6" thickTop="1" thickBot="1" x14ac:dyDescent="0.35">
      <c r="A89" s="51"/>
      <c r="B89" s="52"/>
      <c r="C89" s="50"/>
      <c r="D89" s="51"/>
      <c r="E89"/>
      <c r="F89"/>
      <c r="G89"/>
      <c r="H89"/>
      <c r="I89"/>
      <c r="J89"/>
      <c r="K89"/>
      <c r="L89"/>
      <c r="M89"/>
      <c r="N89"/>
      <c r="O89"/>
    </row>
    <row r="90" spans="1:15" ht="15.6" thickTop="1" thickBot="1" x14ac:dyDescent="0.35">
      <c r="A90" s="51"/>
      <c r="B90" s="52"/>
      <c r="C90" s="50"/>
      <c r="D90" s="51"/>
      <c r="E90"/>
      <c r="F90"/>
      <c r="G90"/>
      <c r="H90"/>
      <c r="I90"/>
      <c r="J90"/>
      <c r="K90"/>
      <c r="L90"/>
      <c r="M90"/>
      <c r="N90"/>
      <c r="O90"/>
    </row>
    <row r="91" spans="1:15" ht="15.6" thickTop="1" thickBot="1" x14ac:dyDescent="0.35">
      <c r="A91" s="51"/>
      <c r="B91" s="52"/>
      <c r="C91" s="50"/>
      <c r="D91" s="51"/>
      <c r="E91"/>
      <c r="F91"/>
      <c r="G91"/>
      <c r="H91"/>
      <c r="I91"/>
      <c r="J91"/>
      <c r="K91"/>
      <c r="L91"/>
      <c r="M91"/>
      <c r="N91"/>
      <c r="O91"/>
    </row>
    <row r="92" spans="1:15" ht="15.6" thickTop="1" thickBot="1" x14ac:dyDescent="0.35">
      <c r="A92" s="51"/>
      <c r="B92" s="52"/>
      <c r="C92" s="50"/>
      <c r="D92" s="51"/>
      <c r="E92"/>
      <c r="F92"/>
      <c r="G92"/>
      <c r="H92"/>
      <c r="I92"/>
      <c r="J92"/>
      <c r="K92"/>
      <c r="L92"/>
      <c r="M92"/>
      <c r="N92"/>
      <c r="O92"/>
    </row>
    <row r="93" spans="1:15" ht="15.6" thickTop="1" thickBot="1" x14ac:dyDescent="0.35">
      <c r="A93" s="51"/>
      <c r="B93" s="52"/>
      <c r="C93" s="50"/>
      <c r="D93" s="51"/>
      <c r="E93"/>
      <c r="F93"/>
      <c r="G93"/>
      <c r="H93"/>
      <c r="I93"/>
      <c r="J93"/>
      <c r="K93"/>
      <c r="L93"/>
      <c r="M93"/>
      <c r="N93"/>
      <c r="O93"/>
    </row>
    <row r="94" spans="1:15" ht="15.6" thickTop="1" thickBot="1" x14ac:dyDescent="0.35">
      <c r="A94" s="51"/>
      <c r="B94" s="52"/>
      <c r="C94" s="50"/>
      <c r="D94" s="51"/>
      <c r="E94"/>
      <c r="F94"/>
      <c r="G94"/>
      <c r="H94"/>
      <c r="I94"/>
      <c r="J94"/>
      <c r="K94"/>
      <c r="L94"/>
      <c r="M94"/>
      <c r="N94"/>
      <c r="O94"/>
    </row>
    <row r="95" spans="1:15" ht="15.6" thickTop="1" thickBot="1" x14ac:dyDescent="0.35">
      <c r="A95" s="51"/>
      <c r="B95" s="52"/>
      <c r="C95" s="50"/>
      <c r="D95" s="51"/>
      <c r="E95"/>
      <c r="F95"/>
      <c r="G95"/>
      <c r="H95"/>
      <c r="I95"/>
      <c r="J95"/>
      <c r="K95"/>
      <c r="L95"/>
      <c r="M95"/>
      <c r="N95"/>
      <c r="O95"/>
    </row>
    <row r="96" spans="1:15" ht="15.6" thickTop="1" thickBot="1" x14ac:dyDescent="0.35">
      <c r="A96" s="51"/>
      <c r="B96" s="52"/>
      <c r="C96" s="50"/>
      <c r="D96" s="51"/>
      <c r="E96"/>
      <c r="F96"/>
      <c r="G96"/>
      <c r="H96"/>
      <c r="I96"/>
      <c r="J96"/>
      <c r="K96"/>
      <c r="L96"/>
      <c r="M96"/>
      <c r="N96"/>
      <c r="O96"/>
    </row>
    <row r="97" spans="1:15" ht="15.6" thickTop="1" thickBot="1" x14ac:dyDescent="0.35">
      <c r="A97" s="51"/>
      <c r="B97" s="52"/>
      <c r="C97" s="50"/>
      <c r="D97" s="51"/>
      <c r="E97"/>
      <c r="F97"/>
      <c r="G97"/>
      <c r="H97"/>
      <c r="I97"/>
      <c r="J97"/>
      <c r="K97"/>
      <c r="L97"/>
      <c r="M97"/>
      <c r="N97"/>
      <c r="O97"/>
    </row>
    <row r="98" spans="1:15" ht="15.6" thickTop="1" thickBot="1" x14ac:dyDescent="0.35">
      <c r="A98" s="51"/>
      <c r="B98" s="52"/>
      <c r="C98" s="50"/>
      <c r="D98" s="51"/>
      <c r="E98"/>
      <c r="F98"/>
      <c r="G98"/>
      <c r="H98"/>
      <c r="I98"/>
      <c r="J98"/>
      <c r="K98"/>
      <c r="L98"/>
      <c r="M98"/>
      <c r="N98"/>
      <c r="O98"/>
    </row>
    <row r="99" spans="1:15" ht="15.6" thickTop="1" thickBot="1" x14ac:dyDescent="0.35">
      <c r="A99" s="51"/>
      <c r="B99" s="52"/>
      <c r="C99" s="50"/>
      <c r="D99" s="51"/>
      <c r="E99"/>
      <c r="F99"/>
      <c r="G99"/>
      <c r="H99"/>
      <c r="I99"/>
      <c r="J99"/>
      <c r="K99"/>
      <c r="L99"/>
      <c r="M99"/>
      <c r="N99"/>
      <c r="O99"/>
    </row>
    <row r="100" spans="1:15" ht="15.6" thickTop="1" thickBot="1" x14ac:dyDescent="0.35">
      <c r="A100" s="51"/>
      <c r="B100" s="52"/>
      <c r="C100" s="50"/>
      <c r="D100" s="51"/>
      <c r="E100"/>
      <c r="F100"/>
      <c r="G100"/>
      <c r="H100"/>
      <c r="I100"/>
      <c r="J100"/>
      <c r="K100"/>
      <c r="L100"/>
      <c r="M100"/>
      <c r="N100"/>
      <c r="O100"/>
    </row>
    <row r="101" spans="1:15" ht="15.6" thickTop="1" thickBot="1" x14ac:dyDescent="0.35">
      <c r="A101" s="51"/>
      <c r="B101" s="52"/>
      <c r="C101" s="50"/>
      <c r="D101" s="51"/>
      <c r="E101"/>
      <c r="F101"/>
      <c r="G101"/>
      <c r="H101"/>
      <c r="I101"/>
      <c r="J101"/>
      <c r="K101"/>
      <c r="L101"/>
      <c r="M101"/>
      <c r="N101"/>
      <c r="O101"/>
    </row>
    <row r="102" spans="1:15" ht="15.6" thickTop="1" thickBot="1" x14ac:dyDescent="0.35">
      <c r="A102" s="51"/>
      <c r="B102" s="52"/>
      <c r="C102" s="50"/>
      <c r="D102" s="51"/>
      <c r="E102"/>
      <c r="F102"/>
      <c r="G102"/>
      <c r="H102"/>
      <c r="I102"/>
      <c r="J102"/>
      <c r="K102"/>
      <c r="L102"/>
      <c r="M102"/>
      <c r="N102"/>
      <c r="O102"/>
    </row>
    <row r="103" spans="1:15" ht="15.6" thickTop="1" thickBot="1" x14ac:dyDescent="0.35">
      <c r="A103" s="51"/>
      <c r="B103" s="52"/>
      <c r="C103" s="50"/>
      <c r="D103" s="80"/>
      <c r="E103"/>
      <c r="F103"/>
      <c r="G103"/>
      <c r="H103"/>
      <c r="I103"/>
      <c r="J103"/>
      <c r="K103"/>
      <c r="L103"/>
      <c r="M103"/>
      <c r="N103"/>
      <c r="O103"/>
    </row>
    <row r="104" spans="1:15" ht="15.6" thickTop="1" thickBot="1" x14ac:dyDescent="0.35">
      <c r="A104" s="51"/>
      <c r="B104" s="52"/>
      <c r="C104" s="50"/>
      <c r="D104" s="51"/>
      <c r="E104"/>
      <c r="F104"/>
      <c r="G104"/>
      <c r="H104"/>
      <c r="I104"/>
      <c r="J104"/>
      <c r="K104"/>
      <c r="L104"/>
      <c r="M104"/>
      <c r="N104"/>
      <c r="O104"/>
    </row>
    <row r="105" spans="1:15" ht="15.6" thickTop="1" thickBot="1" x14ac:dyDescent="0.35">
      <c r="A105" s="51"/>
      <c r="B105" s="52"/>
      <c r="C105" s="50"/>
      <c r="D105" s="51"/>
      <c r="E105"/>
      <c r="F105"/>
      <c r="G105"/>
      <c r="H105"/>
      <c r="I105"/>
      <c r="J105"/>
      <c r="K105"/>
      <c r="L105"/>
      <c r="M105"/>
      <c r="N105"/>
      <c r="O105"/>
    </row>
    <row r="106" spans="1:15" ht="15.6" thickTop="1" thickBot="1" x14ac:dyDescent="0.35">
      <c r="A106" s="51"/>
      <c r="B106" s="52"/>
      <c r="C106" s="50"/>
      <c r="D106" s="51"/>
      <c r="E106"/>
      <c r="F106"/>
      <c r="G106"/>
      <c r="H106"/>
      <c r="I106"/>
      <c r="J106"/>
      <c r="K106"/>
      <c r="L106"/>
      <c r="M106"/>
      <c r="N106"/>
      <c r="O106"/>
    </row>
    <row r="107" spans="1:15" ht="15.6" thickTop="1" thickBot="1" x14ac:dyDescent="0.35">
      <c r="A107" s="51"/>
      <c r="B107" s="52"/>
      <c r="C107" s="50"/>
      <c r="D107" s="51"/>
      <c r="E107"/>
      <c r="F107"/>
      <c r="G107"/>
      <c r="H107"/>
      <c r="I107"/>
      <c r="J107"/>
      <c r="K107"/>
      <c r="L107"/>
      <c r="M107"/>
      <c r="N107"/>
      <c r="O107"/>
    </row>
    <row r="108" spans="1:15" ht="15.6" thickTop="1" thickBot="1" x14ac:dyDescent="0.35">
      <c r="A108" s="51"/>
      <c r="B108" s="52"/>
      <c r="C108" s="50"/>
      <c r="D108" s="51"/>
      <c r="E108"/>
      <c r="F108"/>
      <c r="G108"/>
      <c r="H108"/>
      <c r="I108"/>
      <c r="J108"/>
      <c r="K108"/>
      <c r="L108"/>
      <c r="M108"/>
      <c r="N108"/>
      <c r="O108"/>
    </row>
    <row r="109" spans="1:15" ht="15.6" thickTop="1" thickBot="1" x14ac:dyDescent="0.35">
      <c r="A109" s="51"/>
      <c r="B109" s="52"/>
      <c r="C109" s="50"/>
      <c r="D109" s="51"/>
      <c r="E109"/>
      <c r="F109"/>
      <c r="G109"/>
      <c r="H109"/>
      <c r="I109"/>
      <c r="J109"/>
      <c r="K109"/>
      <c r="L109"/>
      <c r="M109"/>
      <c r="N109"/>
      <c r="O109"/>
    </row>
    <row r="110" spans="1:15" ht="15.6" thickTop="1" thickBot="1" x14ac:dyDescent="0.35">
      <c r="A110" s="51"/>
      <c r="B110" s="52"/>
      <c r="C110" s="50"/>
      <c r="D110" s="51"/>
      <c r="E110"/>
      <c r="F110"/>
      <c r="G110"/>
      <c r="H110"/>
      <c r="I110"/>
      <c r="J110"/>
      <c r="K110"/>
      <c r="L110"/>
      <c r="M110"/>
      <c r="N110"/>
      <c r="O110"/>
    </row>
    <row r="111" spans="1:15" ht="15.6" thickTop="1" thickBot="1" x14ac:dyDescent="0.35">
      <c r="A111" s="51"/>
      <c r="B111" s="52"/>
      <c r="C111" s="50"/>
      <c r="D111" s="51"/>
      <c r="E111"/>
      <c r="F111"/>
      <c r="G111"/>
      <c r="H111"/>
      <c r="I111"/>
      <c r="J111"/>
      <c r="K111"/>
      <c r="L111"/>
      <c r="M111"/>
      <c r="N111"/>
      <c r="O111"/>
    </row>
    <row r="112" spans="1:15" ht="15.6" thickTop="1" thickBot="1" x14ac:dyDescent="0.35">
      <c r="A112" s="51"/>
      <c r="B112" s="52"/>
      <c r="C112" s="50"/>
      <c r="D112" s="51"/>
      <c r="E112"/>
      <c r="F112"/>
      <c r="G112"/>
      <c r="H112"/>
      <c r="I112"/>
      <c r="J112"/>
      <c r="K112"/>
      <c r="L112"/>
      <c r="M112"/>
      <c r="N112"/>
      <c r="O112"/>
    </row>
    <row r="113" spans="1:15" ht="15.6" thickTop="1" thickBot="1" x14ac:dyDescent="0.35">
      <c r="A113" s="51"/>
      <c r="B113" s="52"/>
      <c r="C113" s="50"/>
      <c r="D113" s="51"/>
      <c r="E113"/>
      <c r="F113"/>
      <c r="G113"/>
      <c r="H113"/>
      <c r="I113"/>
      <c r="J113"/>
      <c r="K113"/>
      <c r="L113"/>
      <c r="M113"/>
      <c r="N113"/>
      <c r="O113"/>
    </row>
    <row r="114" spans="1:15" ht="15.6" thickTop="1" thickBot="1" x14ac:dyDescent="0.35">
      <c r="A114" s="51"/>
      <c r="B114" s="52"/>
      <c r="C114" s="50"/>
      <c r="D114" s="51"/>
      <c r="E114"/>
      <c r="F114"/>
      <c r="G114"/>
      <c r="H114"/>
      <c r="I114"/>
      <c r="J114"/>
      <c r="K114"/>
      <c r="L114"/>
      <c r="M114"/>
      <c r="N114"/>
      <c r="O114"/>
    </row>
    <row r="115" spans="1:15" ht="15.6" thickTop="1" thickBot="1" x14ac:dyDescent="0.35">
      <c r="A115" s="51"/>
      <c r="B115" s="52"/>
      <c r="C115" s="50"/>
      <c r="D115" s="51"/>
      <c r="E115"/>
      <c r="F115"/>
      <c r="G115"/>
      <c r="H115"/>
      <c r="I115"/>
      <c r="J115"/>
      <c r="K115"/>
      <c r="L115"/>
      <c r="M115"/>
      <c r="N115"/>
      <c r="O115"/>
    </row>
    <row r="116" spans="1:15" ht="15.6" thickTop="1" thickBot="1" x14ac:dyDescent="0.35">
      <c r="A116" s="51"/>
      <c r="B116" s="52"/>
      <c r="C116" s="50"/>
      <c r="D116" s="51"/>
      <c r="E116"/>
      <c r="F116"/>
      <c r="G116"/>
      <c r="H116"/>
      <c r="I116"/>
      <c r="J116"/>
      <c r="K116"/>
      <c r="L116"/>
      <c r="M116"/>
      <c r="N116"/>
      <c r="O116"/>
    </row>
    <row r="117" spans="1:15" ht="15.6" thickTop="1" thickBot="1" x14ac:dyDescent="0.35">
      <c r="A117" s="51"/>
      <c r="B117" s="52"/>
      <c r="C117" s="50"/>
      <c r="D117" s="51"/>
      <c r="E117"/>
      <c r="F117"/>
      <c r="G117"/>
      <c r="H117"/>
      <c r="I117"/>
      <c r="J117"/>
      <c r="K117"/>
      <c r="L117"/>
      <c r="M117"/>
      <c r="N117"/>
      <c r="O117"/>
    </row>
    <row r="118" spans="1:15" ht="15.6" thickTop="1" thickBot="1" x14ac:dyDescent="0.35">
      <c r="A118" s="51"/>
      <c r="B118" s="52"/>
      <c r="C118" s="50"/>
      <c r="D118" s="51"/>
      <c r="E118"/>
      <c r="F118"/>
      <c r="G118"/>
      <c r="H118"/>
      <c r="I118"/>
      <c r="J118"/>
      <c r="K118"/>
      <c r="L118"/>
      <c r="M118"/>
      <c r="N118"/>
      <c r="O118"/>
    </row>
    <row r="119" spans="1:15" ht="15.6" thickTop="1" thickBot="1" x14ac:dyDescent="0.35">
      <c r="A119" s="51"/>
      <c r="B119" s="52"/>
      <c r="C119" s="50"/>
      <c r="D119" s="51"/>
      <c r="E119"/>
      <c r="F119"/>
      <c r="G119"/>
      <c r="H119"/>
      <c r="I119"/>
      <c r="J119"/>
      <c r="K119"/>
      <c r="L119"/>
      <c r="M119"/>
      <c r="N119"/>
      <c r="O119"/>
    </row>
    <row r="120" spans="1:15" ht="15.6" thickTop="1" thickBot="1" x14ac:dyDescent="0.35">
      <c r="A120" s="51"/>
      <c r="B120" s="52"/>
      <c r="C120" s="50"/>
      <c r="D120" s="51"/>
      <c r="E120"/>
      <c r="F120"/>
      <c r="G120"/>
      <c r="H120"/>
      <c r="I120"/>
      <c r="J120"/>
      <c r="K120"/>
      <c r="L120"/>
      <c r="M120"/>
      <c r="N120"/>
      <c r="O120"/>
    </row>
    <row r="121" spans="1:15" ht="15.6" thickTop="1" thickBot="1" x14ac:dyDescent="0.35">
      <c r="A121" s="51"/>
      <c r="B121" s="52"/>
      <c r="C121" s="50"/>
      <c r="D121" s="51"/>
      <c r="E121"/>
      <c r="F121"/>
      <c r="G121"/>
      <c r="H121"/>
      <c r="I121"/>
      <c r="J121"/>
      <c r="K121"/>
      <c r="L121"/>
      <c r="M121"/>
      <c r="N121"/>
      <c r="O121"/>
    </row>
    <row r="122" spans="1:15" ht="15.6" thickTop="1" thickBot="1" x14ac:dyDescent="0.35">
      <c r="A122" s="51"/>
      <c r="B122" s="52"/>
      <c r="C122" s="50"/>
      <c r="D122" s="51"/>
      <c r="E122"/>
      <c r="F122"/>
      <c r="G122"/>
      <c r="H122"/>
      <c r="I122"/>
      <c r="J122"/>
      <c r="K122"/>
      <c r="L122"/>
      <c r="M122"/>
      <c r="N122"/>
      <c r="O122"/>
    </row>
    <row r="123" spans="1:15" ht="15.6" thickTop="1" thickBot="1" x14ac:dyDescent="0.35">
      <c r="A123" s="51"/>
      <c r="B123" s="52"/>
      <c r="C123" s="50"/>
      <c r="D123" s="51"/>
      <c r="E123"/>
      <c r="F123"/>
      <c r="G123"/>
      <c r="H123"/>
      <c r="I123"/>
      <c r="J123"/>
      <c r="K123"/>
      <c r="L123"/>
      <c r="M123"/>
      <c r="N123"/>
      <c r="O123"/>
    </row>
    <row r="124" spans="1:15" ht="15.6" thickTop="1" thickBot="1" x14ac:dyDescent="0.35">
      <c r="A124" s="51"/>
      <c r="B124" s="52"/>
      <c r="C124" s="50"/>
      <c r="D124" s="51"/>
      <c r="E124"/>
      <c r="F124"/>
      <c r="G124"/>
      <c r="H124"/>
      <c r="I124"/>
      <c r="J124"/>
      <c r="K124"/>
      <c r="L124"/>
      <c r="M124"/>
      <c r="N124"/>
      <c r="O124"/>
    </row>
    <row r="125" spans="1:15" ht="15.6" thickTop="1" thickBot="1" x14ac:dyDescent="0.35">
      <c r="A125" s="51"/>
      <c r="B125" s="52"/>
      <c r="C125" s="50"/>
      <c r="D125" s="51"/>
      <c r="E125"/>
      <c r="F125"/>
      <c r="G125"/>
      <c r="H125"/>
      <c r="I125"/>
      <c r="J125"/>
      <c r="K125"/>
      <c r="L125"/>
      <c r="M125"/>
      <c r="N125"/>
      <c r="O125"/>
    </row>
    <row r="126" spans="1:15" ht="15.6" thickTop="1" thickBot="1" x14ac:dyDescent="0.35">
      <c r="A126" s="51"/>
      <c r="B126" s="52"/>
      <c r="C126" s="50"/>
      <c r="D126" s="51"/>
      <c r="E126"/>
      <c r="F126"/>
      <c r="G126"/>
      <c r="H126"/>
      <c r="I126"/>
      <c r="J126"/>
      <c r="K126"/>
      <c r="L126"/>
      <c r="M126"/>
      <c r="N126"/>
      <c r="O126"/>
    </row>
    <row r="127" spans="1:15" ht="15.6" thickTop="1" thickBot="1" x14ac:dyDescent="0.35">
      <c r="A127" s="51"/>
      <c r="B127" s="52"/>
      <c r="C127" s="50"/>
      <c r="D127" s="51"/>
      <c r="E127"/>
      <c r="F127"/>
      <c r="G127"/>
      <c r="H127"/>
      <c r="I127"/>
      <c r="J127"/>
      <c r="K127"/>
      <c r="L127"/>
      <c r="M127"/>
      <c r="N127"/>
      <c r="O127"/>
    </row>
    <row r="128" spans="1:15" ht="15.6" thickTop="1" thickBot="1" x14ac:dyDescent="0.35">
      <c r="A128" s="51"/>
      <c r="B128" s="52"/>
      <c r="C128" s="50"/>
      <c r="D128" s="51"/>
      <c r="E128"/>
      <c r="F128"/>
      <c r="G128"/>
      <c r="H128"/>
      <c r="I128"/>
      <c r="J128"/>
      <c r="K128"/>
      <c r="L128"/>
      <c r="M128"/>
      <c r="N128"/>
      <c r="O128"/>
    </row>
    <row r="129" spans="1:15" ht="15.6" thickTop="1" thickBot="1" x14ac:dyDescent="0.35">
      <c r="A129" s="51"/>
      <c r="B129" s="52"/>
      <c r="C129" s="50"/>
      <c r="D129" s="51"/>
      <c r="E129"/>
      <c r="F129"/>
      <c r="G129"/>
      <c r="H129"/>
      <c r="I129"/>
      <c r="J129"/>
      <c r="K129"/>
      <c r="L129"/>
      <c r="M129"/>
      <c r="N129"/>
      <c r="O129"/>
    </row>
    <row r="130" spans="1:15" ht="15.6" thickTop="1" thickBot="1" x14ac:dyDescent="0.35">
      <c r="A130" s="51"/>
      <c r="B130" s="52"/>
      <c r="C130" s="50"/>
      <c r="D130" s="51"/>
      <c r="E130"/>
      <c r="F130"/>
      <c r="G130"/>
      <c r="H130"/>
      <c r="I130"/>
      <c r="J130"/>
      <c r="K130"/>
      <c r="L130"/>
      <c r="M130"/>
      <c r="N130"/>
      <c r="O130"/>
    </row>
    <row r="131" spans="1:15" ht="15.6" thickTop="1" thickBot="1" x14ac:dyDescent="0.35">
      <c r="A131" s="51"/>
      <c r="B131" s="52"/>
      <c r="C131" s="50"/>
      <c r="D131" s="51"/>
      <c r="E131"/>
      <c r="F131"/>
      <c r="G131"/>
      <c r="H131"/>
      <c r="I131"/>
      <c r="J131"/>
      <c r="K131"/>
      <c r="L131"/>
      <c r="M131"/>
      <c r="N131"/>
      <c r="O131"/>
    </row>
    <row r="132" spans="1:15" ht="15.6" thickTop="1" thickBot="1" x14ac:dyDescent="0.35">
      <c r="A132" s="51"/>
      <c r="B132" s="52"/>
      <c r="C132" s="50"/>
      <c r="D132" s="51"/>
      <c r="E132"/>
      <c r="F132"/>
      <c r="G132"/>
      <c r="H132"/>
      <c r="I132"/>
      <c r="J132"/>
      <c r="K132"/>
      <c r="L132"/>
      <c r="M132"/>
      <c r="N132"/>
      <c r="O132"/>
    </row>
    <row r="133" spans="1:15" ht="15.6" thickTop="1" thickBot="1" x14ac:dyDescent="0.35">
      <c r="A133" s="51"/>
      <c r="B133" s="52"/>
      <c r="C133" s="50"/>
      <c r="D133" s="51"/>
      <c r="E133"/>
      <c r="F133"/>
      <c r="G133"/>
      <c r="H133"/>
      <c r="I133"/>
      <c r="J133"/>
      <c r="K133"/>
      <c r="L133"/>
      <c r="M133"/>
      <c r="N133"/>
      <c r="O133"/>
    </row>
    <row r="134" spans="1:15" ht="15.6" thickTop="1" thickBot="1" x14ac:dyDescent="0.35">
      <c r="A134" s="51"/>
      <c r="B134" s="52"/>
      <c r="C134" s="50"/>
      <c r="D134" s="51"/>
      <c r="E134"/>
      <c r="F134"/>
      <c r="G134"/>
      <c r="H134"/>
      <c r="I134"/>
      <c r="J134"/>
      <c r="K134"/>
      <c r="L134"/>
      <c r="M134"/>
      <c r="N134"/>
      <c r="O134"/>
    </row>
    <row r="135" spans="1:15" ht="15.6" thickTop="1" thickBot="1" x14ac:dyDescent="0.35">
      <c r="A135" s="51"/>
      <c r="B135" s="52"/>
      <c r="C135" s="50"/>
      <c r="D135" s="51"/>
      <c r="E135"/>
      <c r="F135"/>
      <c r="G135"/>
      <c r="H135"/>
      <c r="I135"/>
      <c r="J135"/>
      <c r="K135"/>
      <c r="L135"/>
      <c r="M135"/>
      <c r="N135"/>
      <c r="O135"/>
    </row>
    <row r="136" spans="1:15" ht="15.6" thickTop="1" thickBot="1" x14ac:dyDescent="0.35">
      <c r="A136" s="51"/>
      <c r="B136" s="52"/>
      <c r="C136" s="50"/>
      <c r="D136" s="51"/>
      <c r="E136"/>
      <c r="F136"/>
      <c r="G136"/>
      <c r="H136"/>
      <c r="I136"/>
      <c r="J136"/>
      <c r="K136"/>
      <c r="L136"/>
      <c r="M136"/>
      <c r="N136"/>
      <c r="O136"/>
    </row>
    <row r="137" spans="1:15" ht="15.6" thickTop="1" thickBot="1" x14ac:dyDescent="0.35">
      <c r="A137" s="51"/>
      <c r="B137" s="52"/>
      <c r="C137" s="50"/>
      <c r="D137" s="51"/>
      <c r="E137"/>
      <c r="F137"/>
      <c r="G137"/>
      <c r="H137"/>
      <c r="I137"/>
      <c r="J137"/>
      <c r="K137"/>
      <c r="L137"/>
      <c r="M137"/>
      <c r="N137"/>
      <c r="O137"/>
    </row>
    <row r="138" spans="1:15" ht="15.6" thickTop="1" thickBot="1" x14ac:dyDescent="0.35">
      <c r="A138" s="51"/>
      <c r="B138" s="52"/>
      <c r="C138" s="50"/>
      <c r="D138" s="51"/>
      <c r="E138"/>
      <c r="F138"/>
      <c r="G138"/>
      <c r="H138"/>
      <c r="I138"/>
      <c r="J138"/>
      <c r="K138"/>
      <c r="L138"/>
      <c r="M138"/>
      <c r="N138"/>
      <c r="O138"/>
    </row>
    <row r="139" spans="1:15" ht="15.6" thickTop="1" thickBot="1" x14ac:dyDescent="0.35">
      <c r="A139" s="51"/>
      <c r="B139" s="52"/>
      <c r="C139" s="50"/>
      <c r="D139" s="51"/>
      <c r="E139"/>
      <c r="F139"/>
      <c r="G139"/>
      <c r="H139"/>
      <c r="I139"/>
      <c r="J139"/>
      <c r="K139"/>
      <c r="L139"/>
      <c r="M139"/>
      <c r="N139"/>
      <c r="O139"/>
    </row>
    <row r="140" spans="1:15" ht="15.6" thickTop="1" thickBot="1" x14ac:dyDescent="0.35">
      <c r="A140" s="51"/>
      <c r="B140" s="52"/>
      <c r="C140" s="50"/>
      <c r="D140" s="51"/>
      <c r="E140"/>
      <c r="F140"/>
      <c r="G140"/>
      <c r="H140"/>
      <c r="I140"/>
      <c r="J140"/>
      <c r="K140"/>
      <c r="L140"/>
      <c r="M140"/>
      <c r="N140"/>
      <c r="O140"/>
    </row>
    <row r="141" spans="1:15" ht="15.6" thickTop="1" thickBot="1" x14ac:dyDescent="0.35">
      <c r="A141" s="51"/>
      <c r="B141" s="52"/>
      <c r="C141" s="50"/>
      <c r="D141" s="51"/>
      <c r="E141"/>
      <c r="F141"/>
      <c r="G141"/>
      <c r="H141"/>
      <c r="I141"/>
      <c r="J141"/>
      <c r="K141"/>
      <c r="L141"/>
      <c r="M141"/>
      <c r="N141"/>
      <c r="O141"/>
    </row>
    <row r="142" spans="1:15" ht="15.6" thickTop="1" thickBot="1" x14ac:dyDescent="0.35">
      <c r="A142" s="51"/>
      <c r="B142" s="52"/>
      <c r="C142" s="50"/>
      <c r="D142" s="51"/>
      <c r="E142"/>
      <c r="F142"/>
      <c r="G142"/>
      <c r="H142"/>
      <c r="I142"/>
      <c r="J142"/>
      <c r="K142"/>
      <c r="L142"/>
      <c r="M142"/>
      <c r="N142"/>
      <c r="O142"/>
    </row>
    <row r="143" spans="1:15" ht="15.6" thickTop="1" thickBot="1" x14ac:dyDescent="0.35">
      <c r="A143" s="51"/>
      <c r="B143" s="52"/>
      <c r="C143" s="50"/>
      <c r="D143" s="51"/>
      <c r="E143"/>
      <c r="F143"/>
      <c r="G143"/>
      <c r="H143"/>
      <c r="I143"/>
      <c r="J143"/>
      <c r="K143"/>
      <c r="L143"/>
      <c r="M143"/>
      <c r="N143"/>
      <c r="O143"/>
    </row>
    <row r="144" spans="1:15" ht="15.6" thickTop="1" thickBot="1" x14ac:dyDescent="0.35">
      <c r="A144" s="51"/>
      <c r="B144" s="52"/>
      <c r="C144" s="50"/>
      <c r="D144" s="51"/>
      <c r="E144"/>
      <c r="F144"/>
      <c r="G144"/>
      <c r="H144"/>
      <c r="I144"/>
      <c r="J144"/>
      <c r="K144"/>
      <c r="L144"/>
      <c r="M144"/>
      <c r="N144"/>
      <c r="O144"/>
    </row>
    <row r="145" spans="1:15" ht="15.6" thickTop="1" thickBot="1" x14ac:dyDescent="0.35">
      <c r="A145" s="51"/>
      <c r="B145" s="52"/>
      <c r="C145" s="50"/>
      <c r="D145" s="51"/>
      <c r="E145"/>
      <c r="F145"/>
      <c r="G145"/>
      <c r="H145"/>
      <c r="I145"/>
      <c r="J145"/>
      <c r="K145"/>
      <c r="L145"/>
      <c r="M145"/>
      <c r="N145"/>
      <c r="O145"/>
    </row>
    <row r="146" spans="1:15" ht="15.6" thickTop="1" thickBot="1" x14ac:dyDescent="0.35">
      <c r="A146" s="51"/>
      <c r="B146" s="52"/>
      <c r="C146" s="50"/>
      <c r="D146" s="51"/>
      <c r="E146"/>
      <c r="F146"/>
      <c r="G146"/>
      <c r="H146"/>
      <c r="I146"/>
      <c r="J146"/>
      <c r="K146"/>
      <c r="L146"/>
      <c r="M146"/>
      <c r="N146"/>
      <c r="O146"/>
    </row>
    <row r="147" spans="1:15" ht="15.6" thickTop="1" thickBot="1" x14ac:dyDescent="0.35">
      <c r="A147" s="51"/>
      <c r="B147" s="52"/>
      <c r="C147" s="50"/>
      <c r="D147" s="51"/>
      <c r="E147"/>
      <c r="F147"/>
      <c r="G147"/>
      <c r="H147"/>
      <c r="I147"/>
      <c r="J147"/>
      <c r="K147"/>
      <c r="L147"/>
      <c r="M147"/>
      <c r="N147"/>
      <c r="O147"/>
    </row>
    <row r="148" spans="1:15" ht="15.6" thickTop="1" thickBot="1" x14ac:dyDescent="0.35">
      <c r="A148" s="51"/>
      <c r="B148" s="52"/>
      <c r="C148" s="50"/>
      <c r="D148" s="51"/>
      <c r="E148"/>
      <c r="F148"/>
      <c r="G148"/>
      <c r="H148"/>
      <c r="I148"/>
      <c r="J148"/>
      <c r="K148"/>
      <c r="L148"/>
      <c r="M148"/>
      <c r="N148"/>
      <c r="O148"/>
    </row>
    <row r="149" spans="1:15" ht="15.6" thickTop="1" thickBot="1" x14ac:dyDescent="0.35">
      <c r="A149" s="51"/>
      <c r="B149" s="52"/>
      <c r="C149" s="50"/>
      <c r="D149" s="51"/>
      <c r="E149"/>
      <c r="F149"/>
      <c r="G149"/>
      <c r="H149"/>
      <c r="I149"/>
      <c r="J149"/>
      <c r="K149"/>
      <c r="L149"/>
      <c r="M149"/>
      <c r="N149"/>
      <c r="O149"/>
    </row>
    <row r="150" spans="1:15" ht="15.6" thickTop="1" thickBot="1" x14ac:dyDescent="0.35">
      <c r="A150" s="51"/>
      <c r="B150" s="52"/>
      <c r="C150" s="50"/>
      <c r="D150" s="51"/>
      <c r="E150"/>
      <c r="F150"/>
      <c r="G150"/>
      <c r="H150"/>
      <c r="I150"/>
      <c r="J150"/>
      <c r="K150"/>
      <c r="L150"/>
      <c r="M150"/>
      <c r="N150"/>
      <c r="O150"/>
    </row>
    <row r="151" spans="1:15" ht="15.6" thickTop="1" thickBot="1" x14ac:dyDescent="0.35">
      <c r="A151" s="51"/>
      <c r="B151" s="52"/>
      <c r="C151" s="50"/>
      <c r="D151" s="51"/>
      <c r="E151"/>
      <c r="F151"/>
      <c r="G151"/>
      <c r="H151"/>
      <c r="I151"/>
      <c r="J151"/>
      <c r="K151"/>
      <c r="L151"/>
      <c r="M151"/>
      <c r="N151"/>
      <c r="O151"/>
    </row>
    <row r="152" spans="1:15" ht="15.6" thickTop="1" thickBot="1" x14ac:dyDescent="0.35">
      <c r="A152" s="51"/>
      <c r="B152" s="52"/>
      <c r="C152" s="50"/>
      <c r="D152" s="51"/>
      <c r="E152"/>
      <c r="F152"/>
      <c r="G152"/>
      <c r="H152"/>
      <c r="I152"/>
      <c r="J152"/>
      <c r="K152"/>
      <c r="L152"/>
      <c r="M152"/>
      <c r="N152"/>
      <c r="O152"/>
    </row>
    <row r="153" spans="1:15" ht="15.6" thickTop="1" thickBot="1" x14ac:dyDescent="0.35">
      <c r="A153" s="51"/>
      <c r="B153" s="52"/>
      <c r="C153" s="50"/>
      <c r="D153" s="51"/>
      <c r="E153"/>
      <c r="F153"/>
      <c r="G153"/>
      <c r="H153"/>
      <c r="I153"/>
      <c r="J153"/>
      <c r="K153"/>
      <c r="L153"/>
      <c r="M153"/>
      <c r="N153"/>
      <c r="O153"/>
    </row>
    <row r="154" spans="1:15" ht="15.6" thickTop="1" thickBot="1" x14ac:dyDescent="0.35">
      <c r="A154" s="51"/>
      <c r="B154" s="52"/>
      <c r="C154" s="50"/>
      <c r="D154" s="51"/>
      <c r="E154"/>
      <c r="F154"/>
      <c r="G154"/>
      <c r="H154"/>
      <c r="I154"/>
      <c r="J154"/>
      <c r="K154"/>
      <c r="L154"/>
      <c r="M154"/>
      <c r="N154"/>
      <c r="O154"/>
    </row>
    <row r="155" spans="1:15" ht="15.6" thickTop="1" thickBot="1" x14ac:dyDescent="0.35">
      <c r="A155" s="51"/>
      <c r="B155" s="52"/>
      <c r="C155" s="50"/>
      <c r="D155" s="51"/>
      <c r="E155"/>
      <c r="F155"/>
      <c r="G155"/>
      <c r="H155"/>
      <c r="I155"/>
      <c r="J155"/>
      <c r="K155"/>
      <c r="L155"/>
      <c r="M155"/>
      <c r="N155"/>
      <c r="O155"/>
    </row>
    <row r="156" spans="1:15" ht="15.6" thickTop="1" thickBot="1" x14ac:dyDescent="0.35">
      <c r="A156" s="51"/>
      <c r="B156" s="52"/>
      <c r="C156" s="50"/>
      <c r="D156" s="51"/>
      <c r="E156"/>
      <c r="F156"/>
      <c r="G156"/>
      <c r="H156"/>
      <c r="I156"/>
      <c r="J156"/>
      <c r="K156"/>
      <c r="L156"/>
      <c r="M156"/>
      <c r="N156"/>
      <c r="O156"/>
    </row>
    <row r="157" spans="1:15" ht="15.6" thickTop="1" thickBot="1" x14ac:dyDescent="0.35">
      <c r="A157" s="51"/>
      <c r="B157" s="52"/>
      <c r="C157" s="50"/>
      <c r="D157" s="51"/>
      <c r="E157"/>
      <c r="F157"/>
      <c r="G157"/>
      <c r="H157"/>
      <c r="I157"/>
      <c r="J157"/>
      <c r="K157"/>
      <c r="L157"/>
      <c r="M157"/>
      <c r="N157"/>
      <c r="O157"/>
    </row>
    <row r="158" spans="1:15" ht="15.6" thickTop="1" thickBot="1" x14ac:dyDescent="0.35">
      <c r="A158" s="51"/>
      <c r="B158" s="52"/>
      <c r="C158" s="50"/>
      <c r="D158" s="51"/>
      <c r="E158"/>
      <c r="F158"/>
      <c r="G158"/>
      <c r="H158"/>
      <c r="I158"/>
      <c r="J158"/>
      <c r="K158"/>
      <c r="L158"/>
      <c r="M158"/>
      <c r="N158"/>
      <c r="O158"/>
    </row>
    <row r="159" spans="1:15" ht="15.6" thickTop="1" thickBot="1" x14ac:dyDescent="0.35">
      <c r="A159" s="51"/>
      <c r="B159" s="52"/>
      <c r="C159" s="50"/>
      <c r="D159" s="51"/>
      <c r="E159"/>
      <c r="F159"/>
      <c r="G159"/>
      <c r="H159"/>
      <c r="I159"/>
      <c r="J159"/>
      <c r="K159"/>
      <c r="L159"/>
      <c r="M159"/>
      <c r="N159"/>
      <c r="O159"/>
    </row>
    <row r="160" spans="1:15" ht="15.6" thickTop="1" thickBot="1" x14ac:dyDescent="0.35">
      <c r="A160" s="51"/>
      <c r="B160" s="52"/>
      <c r="C160" s="50"/>
      <c r="D160" s="51"/>
      <c r="E160"/>
      <c r="F160"/>
      <c r="G160"/>
      <c r="H160"/>
      <c r="I160"/>
      <c r="J160"/>
      <c r="K160"/>
      <c r="L160"/>
      <c r="M160"/>
      <c r="N160"/>
      <c r="O160"/>
    </row>
    <row r="161" spans="1:15" ht="15.6" thickTop="1" thickBot="1" x14ac:dyDescent="0.35">
      <c r="A161" s="51"/>
      <c r="B161" s="52"/>
      <c r="C161" s="50"/>
      <c r="D161" s="51"/>
      <c r="E161"/>
      <c r="F161"/>
      <c r="G161"/>
      <c r="H161"/>
      <c r="I161"/>
      <c r="J161"/>
      <c r="K161"/>
      <c r="L161"/>
      <c r="M161"/>
      <c r="N161"/>
      <c r="O161"/>
    </row>
    <row r="162" spans="1:15" ht="15.6" thickTop="1" thickBot="1" x14ac:dyDescent="0.35">
      <c r="A162" s="51"/>
      <c r="B162" s="52"/>
      <c r="C162" s="50"/>
      <c r="D162" s="51"/>
      <c r="E162"/>
      <c r="F162"/>
      <c r="G162"/>
      <c r="H162"/>
      <c r="I162"/>
      <c r="J162"/>
      <c r="K162"/>
      <c r="L162"/>
      <c r="M162"/>
      <c r="N162"/>
      <c r="O162"/>
    </row>
    <row r="163" spans="1:15" ht="15.6" thickTop="1" thickBot="1" x14ac:dyDescent="0.35">
      <c r="A163" s="51"/>
      <c r="B163" s="52"/>
      <c r="C163" s="50"/>
      <c r="D163" s="51"/>
      <c r="E163"/>
      <c r="F163"/>
      <c r="G163"/>
      <c r="H163"/>
      <c r="I163"/>
      <c r="J163"/>
      <c r="K163"/>
      <c r="L163"/>
      <c r="M163"/>
      <c r="N163"/>
      <c r="O163"/>
    </row>
    <row r="164" spans="1:15" ht="15.6" thickTop="1" thickBot="1" x14ac:dyDescent="0.35">
      <c r="A164" s="51"/>
      <c r="B164" s="52"/>
      <c r="C164" s="50"/>
      <c r="D164" s="51"/>
      <c r="E164"/>
      <c r="F164"/>
      <c r="G164"/>
      <c r="H164"/>
      <c r="I164"/>
      <c r="J164"/>
      <c r="K164"/>
      <c r="L164"/>
      <c r="M164"/>
      <c r="N164"/>
      <c r="O164"/>
    </row>
    <row r="165" spans="1:15" ht="15.6" thickTop="1" thickBot="1" x14ac:dyDescent="0.35">
      <c r="A165" s="51"/>
      <c r="B165" s="52"/>
      <c r="C165" s="50"/>
      <c r="D165" s="51"/>
      <c r="E165"/>
      <c r="F165"/>
      <c r="G165"/>
      <c r="H165"/>
      <c r="I165"/>
      <c r="J165"/>
      <c r="K165"/>
      <c r="L165"/>
      <c r="M165"/>
      <c r="N165"/>
      <c r="O165"/>
    </row>
    <row r="166" spans="1:15" ht="15.6" thickTop="1" thickBot="1" x14ac:dyDescent="0.35">
      <c r="A166" s="51"/>
      <c r="B166" s="52"/>
      <c r="C166" s="50"/>
      <c r="D166" s="51"/>
      <c r="E166"/>
      <c r="F166"/>
      <c r="G166"/>
      <c r="H166"/>
      <c r="I166"/>
      <c r="J166"/>
      <c r="K166"/>
      <c r="L166"/>
      <c r="M166"/>
      <c r="N166"/>
      <c r="O166"/>
    </row>
    <row r="167" spans="1:15" ht="15.6" thickTop="1" thickBot="1" x14ac:dyDescent="0.35">
      <c r="A167" s="51"/>
      <c r="B167" s="52"/>
      <c r="C167" s="50"/>
      <c r="D167" s="51"/>
      <c r="E167"/>
      <c r="F167"/>
      <c r="G167"/>
      <c r="H167"/>
      <c r="I167"/>
      <c r="J167"/>
      <c r="K167"/>
      <c r="L167"/>
      <c r="M167"/>
      <c r="N167"/>
      <c r="O167"/>
    </row>
    <row r="168" spans="1:15" ht="15.6" thickTop="1" thickBot="1" x14ac:dyDescent="0.35">
      <c r="A168" s="51"/>
      <c r="B168" s="52"/>
      <c r="C168" s="50"/>
      <c r="D168" s="51"/>
      <c r="E168"/>
      <c r="F168"/>
      <c r="G168"/>
      <c r="H168"/>
      <c r="I168"/>
      <c r="J168"/>
      <c r="K168"/>
      <c r="L168"/>
      <c r="M168"/>
      <c r="N168"/>
      <c r="O168"/>
    </row>
    <row r="169" spans="1:15" ht="15.6" thickTop="1" thickBot="1" x14ac:dyDescent="0.35">
      <c r="A169" s="51"/>
      <c r="B169" s="52"/>
      <c r="C169" s="50"/>
      <c r="D169" s="51"/>
      <c r="E169"/>
      <c r="F169"/>
      <c r="G169"/>
      <c r="H169"/>
      <c r="I169"/>
      <c r="J169"/>
      <c r="K169"/>
      <c r="L169"/>
      <c r="M169"/>
      <c r="N169"/>
      <c r="O169"/>
    </row>
    <row r="170" spans="1:15" ht="15.6" thickTop="1" thickBot="1" x14ac:dyDescent="0.35">
      <c r="A170" s="51"/>
      <c r="B170" s="52"/>
      <c r="C170" s="50"/>
      <c r="D170" s="51"/>
      <c r="E170"/>
      <c r="F170"/>
      <c r="G170"/>
      <c r="H170"/>
      <c r="I170"/>
      <c r="J170"/>
      <c r="K170"/>
      <c r="L170"/>
      <c r="M170"/>
      <c r="N170"/>
      <c r="O170"/>
    </row>
    <row r="171" spans="1:15" ht="15.6" thickTop="1" thickBot="1" x14ac:dyDescent="0.35">
      <c r="A171" s="51"/>
      <c r="B171" s="52"/>
      <c r="C171" s="50"/>
      <c r="D171" s="51"/>
      <c r="E171"/>
      <c r="F171"/>
      <c r="G171"/>
      <c r="H171"/>
      <c r="I171"/>
      <c r="J171"/>
      <c r="K171"/>
      <c r="L171"/>
      <c r="M171"/>
      <c r="N171"/>
      <c r="O171"/>
    </row>
    <row r="172" spans="1:15" ht="15.6" thickTop="1" thickBot="1" x14ac:dyDescent="0.35">
      <c r="A172" s="51"/>
      <c r="B172" s="52"/>
      <c r="C172" s="50"/>
      <c r="D172" s="51"/>
      <c r="E172"/>
      <c r="F172"/>
      <c r="G172"/>
      <c r="H172"/>
      <c r="I172"/>
      <c r="J172"/>
      <c r="K172"/>
      <c r="L172"/>
      <c r="M172"/>
      <c r="N172"/>
      <c r="O172"/>
    </row>
    <row r="173" spans="1:15" ht="15.6" thickTop="1" thickBot="1" x14ac:dyDescent="0.35">
      <c r="A173" s="51"/>
      <c r="B173" s="52"/>
      <c r="C173" s="50"/>
      <c r="D173" s="51"/>
      <c r="E173"/>
      <c r="F173"/>
      <c r="G173"/>
      <c r="H173"/>
      <c r="I173"/>
      <c r="J173"/>
      <c r="K173"/>
      <c r="L173"/>
      <c r="M173"/>
      <c r="N173"/>
      <c r="O173"/>
    </row>
    <row r="174" spans="1:15" ht="15.6" thickTop="1" thickBot="1" x14ac:dyDescent="0.35">
      <c r="A174" s="51"/>
      <c r="B174" s="52"/>
      <c r="C174" s="50"/>
      <c r="D174" s="51"/>
      <c r="E174"/>
      <c r="F174"/>
      <c r="G174"/>
      <c r="H174"/>
      <c r="I174"/>
      <c r="J174"/>
      <c r="K174"/>
      <c r="L174"/>
      <c r="M174"/>
      <c r="N174"/>
      <c r="O174"/>
    </row>
    <row r="175" spans="1:15" ht="15.6" thickTop="1" thickBot="1" x14ac:dyDescent="0.35">
      <c r="A175" s="51"/>
      <c r="B175" s="52"/>
      <c r="C175" s="50"/>
      <c r="D175" s="51"/>
      <c r="E175"/>
      <c r="F175"/>
      <c r="G175"/>
      <c r="H175"/>
      <c r="I175"/>
      <c r="J175"/>
      <c r="K175"/>
      <c r="L175"/>
      <c r="M175"/>
      <c r="N175"/>
      <c r="O175"/>
    </row>
    <row r="176" spans="1:15" ht="15.6" thickTop="1" thickBot="1" x14ac:dyDescent="0.35">
      <c r="A176" s="51"/>
      <c r="B176" s="52"/>
      <c r="C176" s="50"/>
      <c r="D176" s="51"/>
      <c r="E176"/>
      <c r="F176"/>
      <c r="G176"/>
      <c r="H176"/>
      <c r="I176"/>
      <c r="J176"/>
      <c r="K176"/>
      <c r="L176"/>
      <c r="M176"/>
      <c r="N176"/>
      <c r="O176"/>
    </row>
    <row r="177" spans="1:15" ht="15.6" thickTop="1" thickBot="1" x14ac:dyDescent="0.35">
      <c r="A177" s="51"/>
      <c r="B177" s="52"/>
      <c r="C177" s="50"/>
      <c r="D177" s="51"/>
      <c r="E177"/>
      <c r="F177"/>
      <c r="G177"/>
      <c r="H177"/>
      <c r="I177"/>
      <c r="J177"/>
      <c r="K177"/>
      <c r="L177"/>
      <c r="M177"/>
      <c r="N177"/>
      <c r="O177"/>
    </row>
    <row r="178" spans="1:15" ht="15.6" thickTop="1" thickBot="1" x14ac:dyDescent="0.35">
      <c r="A178" s="51"/>
      <c r="B178" s="52"/>
      <c r="C178" s="50"/>
      <c r="D178" s="51"/>
      <c r="E178"/>
      <c r="F178"/>
      <c r="G178"/>
      <c r="H178"/>
      <c r="I178"/>
      <c r="J178"/>
      <c r="K178"/>
      <c r="L178"/>
      <c r="M178"/>
      <c r="N178"/>
      <c r="O178"/>
    </row>
    <row r="179" spans="1:15" ht="15.6" thickTop="1" thickBot="1" x14ac:dyDescent="0.35">
      <c r="A179" s="51"/>
      <c r="B179" s="52"/>
      <c r="C179" s="50"/>
      <c r="D179" s="51"/>
      <c r="E179"/>
      <c r="F179"/>
      <c r="G179"/>
      <c r="H179"/>
      <c r="I179"/>
      <c r="J179"/>
      <c r="K179"/>
      <c r="L179"/>
      <c r="M179"/>
      <c r="N179"/>
      <c r="O179"/>
    </row>
    <row r="180" spans="1:15" ht="15.6" thickTop="1" thickBot="1" x14ac:dyDescent="0.35">
      <c r="A180" s="51"/>
      <c r="B180" s="52"/>
      <c r="C180" s="50"/>
      <c r="D180" s="51"/>
      <c r="E180"/>
      <c r="F180"/>
      <c r="G180"/>
      <c r="H180"/>
      <c r="I180"/>
      <c r="J180"/>
      <c r="K180"/>
      <c r="L180"/>
      <c r="M180"/>
      <c r="N180"/>
      <c r="O180"/>
    </row>
    <row r="181" spans="1:15" ht="15.6" thickTop="1" thickBot="1" x14ac:dyDescent="0.35">
      <c r="A181" s="51"/>
      <c r="B181" s="52"/>
      <c r="C181" s="50"/>
      <c r="D181" s="51"/>
      <c r="E181"/>
      <c r="F181"/>
      <c r="G181"/>
      <c r="H181"/>
      <c r="I181"/>
      <c r="J181"/>
      <c r="K181"/>
      <c r="L181"/>
      <c r="M181"/>
      <c r="N181"/>
      <c r="O181"/>
    </row>
    <row r="182" spans="1:15" ht="15.6" thickTop="1" thickBot="1" x14ac:dyDescent="0.35">
      <c r="A182" s="51"/>
      <c r="B182" s="52"/>
      <c r="C182" s="50"/>
      <c r="D182" s="51"/>
      <c r="E182"/>
      <c r="F182"/>
      <c r="G182"/>
      <c r="H182"/>
      <c r="I182"/>
      <c r="J182"/>
      <c r="K182"/>
      <c r="L182"/>
      <c r="M182"/>
      <c r="N182"/>
      <c r="O182"/>
    </row>
    <row r="183" spans="1:15" ht="15.6" thickTop="1" thickBot="1" x14ac:dyDescent="0.35">
      <c r="A183" s="51"/>
      <c r="B183" s="52"/>
      <c r="C183" s="50"/>
      <c r="D183" s="51"/>
      <c r="E183"/>
      <c r="F183"/>
      <c r="G183"/>
      <c r="H183"/>
      <c r="I183"/>
      <c r="J183"/>
      <c r="K183"/>
      <c r="L183"/>
      <c r="M183"/>
      <c r="N183"/>
      <c r="O183"/>
    </row>
    <row r="184" spans="1:15" ht="15.6" thickTop="1" thickBot="1" x14ac:dyDescent="0.35">
      <c r="A184" s="51"/>
      <c r="B184" s="52"/>
      <c r="C184" s="51"/>
      <c r="D184" s="51"/>
      <c r="E184"/>
      <c r="F184"/>
      <c r="G184"/>
      <c r="H184"/>
      <c r="I184"/>
      <c r="J184"/>
      <c r="K184"/>
      <c r="L184"/>
      <c r="M184"/>
      <c r="N184"/>
      <c r="O184"/>
    </row>
    <row r="185" spans="1:15" ht="15.6" thickTop="1" thickBot="1" x14ac:dyDescent="0.35">
      <c r="A185" s="51"/>
      <c r="B185" s="52"/>
      <c r="C185" s="51"/>
      <c r="D185" s="51"/>
      <c r="E185"/>
      <c r="F185"/>
      <c r="G185"/>
      <c r="H185"/>
      <c r="I185"/>
      <c r="J185"/>
      <c r="K185"/>
      <c r="L185"/>
      <c r="M185"/>
      <c r="N185"/>
      <c r="O185"/>
    </row>
    <row r="186" spans="1:15" ht="15.6" thickTop="1" thickBot="1" x14ac:dyDescent="0.35">
      <c r="A186" s="51"/>
      <c r="B186" s="52"/>
      <c r="C186" s="51"/>
      <c r="D186" s="51"/>
      <c r="E186"/>
      <c r="F186"/>
      <c r="G186"/>
      <c r="H186"/>
      <c r="I186"/>
      <c r="J186"/>
      <c r="K186"/>
      <c r="L186"/>
      <c r="M186"/>
      <c r="N186"/>
      <c r="O186"/>
    </row>
    <row r="187" spans="1:15" ht="15.6" thickTop="1" thickBot="1" x14ac:dyDescent="0.35">
      <c r="A187" s="51"/>
      <c r="B187" s="52"/>
      <c r="C187" s="51"/>
      <c r="D187" s="51"/>
      <c r="E187"/>
      <c r="F187"/>
      <c r="G187"/>
      <c r="H187"/>
      <c r="I187"/>
      <c r="J187"/>
      <c r="K187"/>
      <c r="L187"/>
      <c r="M187"/>
      <c r="N187"/>
      <c r="O187"/>
    </row>
    <row r="188" spans="1:15" ht="15.6" thickTop="1" thickBot="1" x14ac:dyDescent="0.35">
      <c r="A188" s="51"/>
      <c r="B188" s="52"/>
      <c r="C188" s="51"/>
      <c r="D188" s="51"/>
      <c r="E188"/>
      <c r="F188"/>
      <c r="G188"/>
      <c r="H188"/>
      <c r="I188"/>
      <c r="J188"/>
      <c r="K188"/>
      <c r="L188"/>
      <c r="M188"/>
      <c r="N188"/>
      <c r="O188"/>
    </row>
    <row r="189" spans="1:15" ht="15.6" thickTop="1" thickBot="1" x14ac:dyDescent="0.35">
      <c r="A189" s="51"/>
      <c r="B189" s="52"/>
      <c r="C189" s="51"/>
      <c r="D189" s="51"/>
      <c r="E189"/>
      <c r="F189"/>
      <c r="G189"/>
      <c r="H189"/>
      <c r="I189"/>
      <c r="J189"/>
      <c r="K189"/>
      <c r="L189"/>
      <c r="M189"/>
      <c r="N189"/>
      <c r="O189"/>
    </row>
    <row r="190" spans="1:15" ht="15.6" thickTop="1" thickBot="1" x14ac:dyDescent="0.35">
      <c r="A190" s="51"/>
      <c r="B190" s="52"/>
      <c r="C190" s="51"/>
      <c r="D190" s="51"/>
      <c r="E190"/>
      <c r="F190"/>
      <c r="G190"/>
      <c r="H190"/>
      <c r="I190"/>
      <c r="J190"/>
      <c r="K190"/>
      <c r="L190"/>
      <c r="M190"/>
      <c r="N190"/>
      <c r="O190"/>
    </row>
    <row r="191" spans="1:15" ht="15.6" thickTop="1" thickBot="1" x14ac:dyDescent="0.35">
      <c r="A191" s="51"/>
      <c r="B191" s="52"/>
      <c r="C191" s="51"/>
      <c r="D191" s="51"/>
      <c r="E191"/>
      <c r="F191"/>
      <c r="G191"/>
      <c r="H191"/>
      <c r="I191"/>
      <c r="J191"/>
      <c r="K191"/>
      <c r="L191"/>
      <c r="M191"/>
      <c r="N191"/>
      <c r="O191"/>
    </row>
    <row r="192" spans="1:15" ht="15.6" thickTop="1" thickBot="1" x14ac:dyDescent="0.35">
      <c r="A192" s="51"/>
      <c r="B192" s="52"/>
      <c r="C192" s="51"/>
      <c r="D192" s="51"/>
      <c r="E192"/>
      <c r="F192"/>
      <c r="G192"/>
      <c r="H192"/>
      <c r="I192"/>
      <c r="J192"/>
      <c r="K192"/>
      <c r="L192"/>
      <c r="M192"/>
      <c r="N192"/>
      <c r="O192"/>
    </row>
    <row r="193" spans="1:15" ht="15.6" thickTop="1" thickBot="1" x14ac:dyDescent="0.35">
      <c r="A193" s="51"/>
      <c r="B193" s="52"/>
      <c r="C193" s="51"/>
      <c r="D193" s="51"/>
      <c r="E193"/>
      <c r="F193"/>
      <c r="G193"/>
      <c r="H193"/>
      <c r="I193"/>
      <c r="J193"/>
      <c r="K193"/>
      <c r="L193"/>
      <c r="M193"/>
      <c r="N193"/>
      <c r="O193"/>
    </row>
    <row r="194" spans="1:15" ht="15.6" thickTop="1" thickBot="1" x14ac:dyDescent="0.35">
      <c r="A194" s="51"/>
      <c r="B194" s="52"/>
      <c r="C194" s="51"/>
      <c r="D194" s="51"/>
      <c r="E194"/>
      <c r="F194"/>
      <c r="G194"/>
      <c r="H194"/>
      <c r="I194"/>
      <c r="J194"/>
      <c r="K194"/>
      <c r="L194"/>
      <c r="M194"/>
      <c r="N194"/>
      <c r="O194"/>
    </row>
    <row r="195" spans="1:15" ht="15.6" thickTop="1" thickBot="1" x14ac:dyDescent="0.35">
      <c r="A195" s="51"/>
      <c r="B195" s="52"/>
      <c r="C195" s="51"/>
      <c r="D195" s="51"/>
      <c r="E195"/>
      <c r="F195"/>
      <c r="G195"/>
      <c r="H195"/>
      <c r="I195"/>
      <c r="J195"/>
      <c r="K195"/>
      <c r="L195"/>
      <c r="M195"/>
      <c r="N195"/>
      <c r="O195"/>
    </row>
    <row r="196" spans="1:15" ht="15.6" thickTop="1" thickBot="1" x14ac:dyDescent="0.35">
      <c r="A196" s="51"/>
      <c r="B196" s="52"/>
      <c r="C196" s="51"/>
      <c r="D196" s="51"/>
      <c r="E196"/>
      <c r="F196"/>
      <c r="G196"/>
      <c r="H196"/>
      <c r="I196"/>
      <c r="J196"/>
      <c r="K196"/>
      <c r="L196"/>
      <c r="M196"/>
      <c r="N196"/>
      <c r="O196"/>
    </row>
    <row r="197" spans="1:15" ht="15.6" thickTop="1" thickBot="1" x14ac:dyDescent="0.35">
      <c r="A197" s="51"/>
      <c r="B197" s="52"/>
      <c r="C197" s="51"/>
      <c r="D197" s="51"/>
      <c r="E197"/>
      <c r="F197"/>
      <c r="G197"/>
      <c r="H197"/>
      <c r="I197"/>
      <c r="J197"/>
      <c r="K197"/>
      <c r="L197"/>
      <c r="M197"/>
      <c r="N197"/>
      <c r="O197"/>
    </row>
    <row r="198" spans="1:15" ht="15.6" thickTop="1" thickBot="1" x14ac:dyDescent="0.35">
      <c r="A198" s="51"/>
      <c r="B198" s="52"/>
      <c r="C198" s="51"/>
      <c r="D198" s="51"/>
      <c r="E198"/>
      <c r="F198"/>
      <c r="G198"/>
      <c r="H198"/>
      <c r="I198"/>
      <c r="J198"/>
      <c r="K198"/>
      <c r="L198"/>
      <c r="M198"/>
      <c r="N198"/>
      <c r="O198"/>
    </row>
    <row r="199" spans="1:15" ht="15.6" thickTop="1" thickBot="1" x14ac:dyDescent="0.35">
      <c r="A199" s="51"/>
      <c r="B199" s="52"/>
      <c r="C199" s="51"/>
      <c r="D199" s="51"/>
      <c r="E199"/>
      <c r="F199"/>
      <c r="G199"/>
      <c r="H199"/>
      <c r="I199"/>
      <c r="J199"/>
      <c r="K199"/>
      <c r="L199"/>
      <c r="M199"/>
      <c r="N199"/>
      <c r="O199"/>
    </row>
    <row r="200" spans="1:15" ht="15.6" thickTop="1" thickBot="1" x14ac:dyDescent="0.35">
      <c r="A200" s="51"/>
      <c r="B200" s="52"/>
      <c r="C200" s="51"/>
      <c r="D200" s="51"/>
      <c r="E200"/>
      <c r="F200"/>
      <c r="G200"/>
      <c r="H200"/>
      <c r="I200"/>
      <c r="J200"/>
      <c r="K200"/>
      <c r="L200"/>
      <c r="M200"/>
      <c r="N200"/>
      <c r="O200"/>
    </row>
    <row r="201" spans="1:15" ht="15.6" thickTop="1" thickBot="1" x14ac:dyDescent="0.35">
      <c r="A201" s="51"/>
      <c r="B201" s="52"/>
      <c r="C201" s="51"/>
      <c r="D201" s="51"/>
      <c r="E201"/>
      <c r="F201"/>
      <c r="G201"/>
      <c r="H201"/>
      <c r="I201"/>
      <c r="J201"/>
      <c r="K201"/>
      <c r="L201"/>
      <c r="M201"/>
      <c r="N201"/>
      <c r="O201"/>
    </row>
    <row r="202" spans="1:15" ht="15.6" thickTop="1" thickBot="1" x14ac:dyDescent="0.35">
      <c r="A202" s="51"/>
      <c r="B202" s="52"/>
      <c r="C202" s="51"/>
      <c r="D202" s="51"/>
      <c r="E202"/>
      <c r="F202"/>
      <c r="G202"/>
      <c r="H202"/>
      <c r="I202"/>
      <c r="J202"/>
      <c r="K202"/>
      <c r="L202"/>
      <c r="M202"/>
      <c r="N202"/>
      <c r="O202"/>
    </row>
    <row r="203" spans="1:15" ht="15.6" thickTop="1" thickBot="1" x14ac:dyDescent="0.35">
      <c r="A203" s="51"/>
      <c r="B203" s="52"/>
      <c r="C203" s="51"/>
      <c r="D203" s="51"/>
      <c r="E203"/>
      <c r="F203"/>
      <c r="G203"/>
      <c r="H203"/>
      <c r="I203"/>
      <c r="J203"/>
      <c r="K203"/>
      <c r="L203"/>
      <c r="M203"/>
      <c r="N203"/>
      <c r="O203"/>
    </row>
    <row r="204" spans="1:15" ht="15.6" thickTop="1" thickBot="1" x14ac:dyDescent="0.35">
      <c r="A204" s="51"/>
      <c r="B204" s="52"/>
      <c r="C204" s="51"/>
      <c r="D204" s="51"/>
      <c r="E204"/>
      <c r="F204"/>
      <c r="G204"/>
      <c r="H204"/>
      <c r="I204"/>
      <c r="J204"/>
      <c r="K204"/>
      <c r="L204"/>
      <c r="M204"/>
      <c r="N204"/>
      <c r="O204"/>
    </row>
    <row r="205" spans="1:15" ht="15.6" thickTop="1" thickBot="1" x14ac:dyDescent="0.35">
      <c r="A205" s="51"/>
      <c r="B205" s="52"/>
      <c r="C205" s="51"/>
      <c r="D205" s="51"/>
      <c r="E205"/>
      <c r="F205"/>
      <c r="G205"/>
      <c r="H205"/>
      <c r="I205"/>
      <c r="J205"/>
      <c r="K205"/>
      <c r="L205"/>
      <c r="M205"/>
      <c r="N205"/>
      <c r="O205"/>
    </row>
    <row r="206" spans="1:15" ht="15.6" thickTop="1" thickBot="1" x14ac:dyDescent="0.35">
      <c r="A206" s="51"/>
      <c r="B206" s="52"/>
      <c r="C206" s="51"/>
      <c r="D206" s="51"/>
      <c r="E206"/>
      <c r="F206"/>
      <c r="G206"/>
      <c r="H206"/>
      <c r="I206"/>
      <c r="J206"/>
      <c r="K206"/>
      <c r="L206"/>
      <c r="M206"/>
      <c r="N206"/>
      <c r="O206"/>
    </row>
    <row r="207" spans="1:15" ht="15.6" thickTop="1" thickBot="1" x14ac:dyDescent="0.35">
      <c r="A207" s="51"/>
      <c r="B207" s="52"/>
      <c r="C207" s="51"/>
      <c r="D207" s="51"/>
      <c r="E207"/>
      <c r="F207"/>
      <c r="G207"/>
      <c r="H207"/>
      <c r="I207"/>
      <c r="J207"/>
      <c r="K207"/>
      <c r="L207"/>
      <c r="M207"/>
      <c r="N207"/>
      <c r="O207"/>
    </row>
    <row r="208" spans="1:15" ht="15.6" thickTop="1" thickBot="1" x14ac:dyDescent="0.35">
      <c r="A208" s="51"/>
      <c r="B208" s="52"/>
      <c r="C208" s="51"/>
      <c r="D208" s="51"/>
      <c r="E208"/>
      <c r="F208"/>
      <c r="G208"/>
      <c r="H208"/>
      <c r="I208"/>
      <c r="J208"/>
      <c r="K208"/>
      <c r="L208"/>
      <c r="M208"/>
      <c r="N208"/>
      <c r="O208"/>
    </row>
    <row r="209" spans="1:15" ht="15.6" thickTop="1" thickBot="1" x14ac:dyDescent="0.35">
      <c r="A209" s="51"/>
      <c r="B209" s="52"/>
      <c r="C209" s="51"/>
      <c r="D209" s="51"/>
      <c r="E209"/>
      <c r="F209"/>
      <c r="G209"/>
      <c r="H209"/>
      <c r="I209"/>
      <c r="J209"/>
      <c r="K209"/>
      <c r="L209"/>
      <c r="M209"/>
      <c r="N209"/>
      <c r="O209"/>
    </row>
    <row r="210" spans="1:15" ht="15.6" thickTop="1" thickBot="1" x14ac:dyDescent="0.35">
      <c r="A210" s="51"/>
      <c r="B210" s="52"/>
      <c r="C210" s="51"/>
      <c r="D210" s="51"/>
      <c r="E210"/>
      <c r="F210"/>
      <c r="G210"/>
      <c r="H210"/>
      <c r="I210"/>
      <c r="J210"/>
      <c r="K210"/>
      <c r="L210"/>
      <c r="M210"/>
      <c r="N210"/>
      <c r="O210"/>
    </row>
    <row r="211" spans="1:15" ht="15.6" thickTop="1" thickBot="1" x14ac:dyDescent="0.35">
      <c r="A211" s="51"/>
      <c r="B211" s="52"/>
      <c r="C211" s="51"/>
      <c r="D211" s="51"/>
      <c r="E211"/>
      <c r="F211"/>
      <c r="G211"/>
      <c r="H211"/>
      <c r="I211"/>
      <c r="J211"/>
      <c r="K211"/>
      <c r="L211"/>
      <c r="M211"/>
      <c r="N211"/>
      <c r="O211"/>
    </row>
    <row r="212" spans="1:15" ht="15.6" thickTop="1" thickBot="1" x14ac:dyDescent="0.35">
      <c r="A212" s="51"/>
      <c r="B212" s="52"/>
      <c r="C212" s="51"/>
      <c r="D212" s="51"/>
      <c r="E212"/>
      <c r="F212"/>
      <c r="G212"/>
      <c r="H212"/>
      <c r="I212"/>
      <c r="J212"/>
      <c r="K212"/>
      <c r="L212"/>
      <c r="M212"/>
      <c r="N212"/>
      <c r="O212"/>
    </row>
    <row r="213" spans="1:15" ht="15.6" thickTop="1" thickBot="1" x14ac:dyDescent="0.35">
      <c r="A213" s="51"/>
      <c r="B213" s="52"/>
      <c r="C213" s="51"/>
      <c r="D213" s="51"/>
      <c r="E213"/>
      <c r="F213"/>
      <c r="G213"/>
      <c r="H213"/>
      <c r="I213"/>
      <c r="J213"/>
      <c r="K213"/>
      <c r="L213"/>
      <c r="M213"/>
      <c r="N213"/>
      <c r="O213"/>
    </row>
    <row r="214" spans="1:15" ht="15.6" thickTop="1" thickBot="1" x14ac:dyDescent="0.35">
      <c r="A214" s="51"/>
      <c r="B214" s="52"/>
      <c r="C214" s="51"/>
      <c r="D214" s="51"/>
      <c r="E214"/>
      <c r="F214"/>
      <c r="G214"/>
      <c r="H214"/>
      <c r="I214"/>
      <c r="J214"/>
      <c r="K214"/>
      <c r="L214"/>
      <c r="M214"/>
      <c r="N214"/>
      <c r="O214"/>
    </row>
    <row r="215" spans="1:15" ht="15.6" thickTop="1" thickBot="1" x14ac:dyDescent="0.35">
      <c r="A215" s="51"/>
      <c r="B215" s="52"/>
      <c r="C215" s="51"/>
      <c r="D215" s="51"/>
      <c r="E215"/>
      <c r="F215"/>
      <c r="G215"/>
      <c r="H215"/>
      <c r="I215"/>
      <c r="J215"/>
      <c r="K215"/>
      <c r="L215"/>
      <c r="M215"/>
      <c r="N215"/>
      <c r="O215"/>
    </row>
    <row r="216" spans="1:15" ht="15.6" thickTop="1" thickBot="1" x14ac:dyDescent="0.35">
      <c r="A216" s="51"/>
      <c r="B216" s="52"/>
      <c r="C216" s="51"/>
      <c r="D216" s="51"/>
      <c r="E216"/>
      <c r="F216"/>
      <c r="G216"/>
      <c r="H216"/>
      <c r="I216"/>
      <c r="J216"/>
      <c r="K216"/>
      <c r="L216"/>
      <c r="M216"/>
      <c r="N216"/>
      <c r="O216"/>
    </row>
    <row r="217" spans="1:15" ht="15.6" thickTop="1" thickBot="1" x14ac:dyDescent="0.35">
      <c r="A217" s="51"/>
      <c r="B217" s="52"/>
      <c r="C217" s="51"/>
      <c r="D217" s="51"/>
      <c r="E217"/>
      <c r="F217"/>
      <c r="G217"/>
      <c r="H217"/>
      <c r="I217"/>
      <c r="J217"/>
      <c r="K217"/>
      <c r="L217"/>
      <c r="M217"/>
      <c r="N217"/>
      <c r="O217"/>
    </row>
    <row r="218" spans="1:15" ht="15.6" thickTop="1" thickBot="1" x14ac:dyDescent="0.35">
      <c r="A218" s="51"/>
      <c r="B218" s="52"/>
      <c r="C218" s="51"/>
      <c r="D218" s="51"/>
      <c r="E218"/>
      <c r="F218"/>
      <c r="G218"/>
      <c r="H218"/>
      <c r="I218"/>
      <c r="J218"/>
      <c r="K218"/>
      <c r="L218"/>
      <c r="M218"/>
      <c r="N218"/>
      <c r="O218"/>
    </row>
    <row r="219" spans="1:15" ht="15.6" thickTop="1" thickBot="1" x14ac:dyDescent="0.35">
      <c r="A219" s="51"/>
      <c r="B219" s="52"/>
      <c r="C219" s="51"/>
      <c r="D219" s="51"/>
      <c r="E219"/>
      <c r="F219"/>
      <c r="G219"/>
      <c r="H219"/>
      <c r="I219"/>
      <c r="J219"/>
      <c r="K219"/>
      <c r="L219"/>
      <c r="M219"/>
      <c r="N219"/>
      <c r="O219"/>
    </row>
    <row r="220" spans="1:15" ht="15.6" thickTop="1" thickBot="1" x14ac:dyDescent="0.35">
      <c r="A220" s="51"/>
      <c r="B220" s="52"/>
      <c r="C220" s="51"/>
      <c r="D220" s="51"/>
      <c r="E220"/>
      <c r="F220"/>
      <c r="G220"/>
      <c r="H220"/>
      <c r="I220"/>
      <c r="J220"/>
      <c r="K220"/>
      <c r="L220"/>
      <c r="M220"/>
      <c r="N220"/>
      <c r="O220"/>
    </row>
    <row r="221" spans="1:15" ht="15.6" thickTop="1" thickBot="1" x14ac:dyDescent="0.35">
      <c r="A221" s="51"/>
      <c r="B221" s="52"/>
      <c r="C221" s="51"/>
      <c r="D221" s="51"/>
      <c r="E221"/>
      <c r="F221"/>
      <c r="G221"/>
      <c r="H221"/>
      <c r="I221"/>
      <c r="J221"/>
      <c r="K221"/>
      <c r="L221"/>
      <c r="M221"/>
      <c r="N221"/>
      <c r="O221"/>
    </row>
    <row r="222" spans="1:15" ht="15.6" thickTop="1" thickBot="1" x14ac:dyDescent="0.35">
      <c r="A222" s="51"/>
      <c r="B222" s="52"/>
      <c r="C222" s="51"/>
      <c r="D222" s="51"/>
      <c r="E222"/>
      <c r="F222"/>
      <c r="G222"/>
      <c r="H222"/>
      <c r="I222"/>
      <c r="J222"/>
      <c r="K222"/>
      <c r="L222"/>
      <c r="M222"/>
      <c r="N222"/>
      <c r="O222"/>
    </row>
    <row r="223" spans="1:15" ht="15.6" thickTop="1" thickBot="1" x14ac:dyDescent="0.35">
      <c r="A223" s="51"/>
      <c r="B223" s="52"/>
      <c r="C223" s="51"/>
      <c r="D223" s="51"/>
      <c r="E223"/>
      <c r="F223"/>
      <c r="G223"/>
      <c r="H223"/>
      <c r="I223"/>
      <c r="J223"/>
      <c r="K223"/>
      <c r="L223"/>
      <c r="M223"/>
      <c r="N223"/>
      <c r="O223"/>
    </row>
    <row r="224" spans="1:15" ht="15.6" thickTop="1" thickBot="1" x14ac:dyDescent="0.35">
      <c r="A224" s="51"/>
      <c r="B224" s="52"/>
      <c r="C224" s="51"/>
      <c r="D224" s="51"/>
      <c r="E224"/>
      <c r="F224"/>
      <c r="G224"/>
      <c r="H224"/>
      <c r="I224"/>
      <c r="J224"/>
      <c r="K224"/>
      <c r="L224"/>
      <c r="M224"/>
      <c r="N224"/>
      <c r="O224"/>
    </row>
    <row r="225" spans="1:15" ht="15.6" thickTop="1" thickBot="1" x14ac:dyDescent="0.35">
      <c r="A225" s="51"/>
      <c r="B225" s="52"/>
      <c r="C225" s="51"/>
      <c r="D225" s="51"/>
      <c r="E225"/>
      <c r="F225"/>
      <c r="G225"/>
      <c r="H225"/>
      <c r="I225"/>
      <c r="J225"/>
      <c r="K225"/>
      <c r="L225"/>
      <c r="M225"/>
      <c r="N225"/>
      <c r="O225"/>
    </row>
    <row r="226" spans="1:15" ht="15.6" thickTop="1" thickBot="1" x14ac:dyDescent="0.35">
      <c r="A226" s="51"/>
      <c r="B226" s="52"/>
      <c r="C226" s="51"/>
      <c r="D226" s="51"/>
      <c r="E226"/>
      <c r="F226"/>
      <c r="G226"/>
      <c r="H226"/>
      <c r="I226"/>
      <c r="J226"/>
      <c r="K226"/>
      <c r="L226"/>
      <c r="M226"/>
      <c r="N226"/>
      <c r="O226"/>
    </row>
    <row r="227" spans="1:15" ht="15.6" thickTop="1" thickBot="1" x14ac:dyDescent="0.35">
      <c r="A227" s="51"/>
      <c r="B227" s="52"/>
      <c r="C227" s="51"/>
      <c r="D227" s="51"/>
      <c r="E227"/>
      <c r="F227"/>
      <c r="G227"/>
      <c r="H227"/>
      <c r="I227"/>
      <c r="J227"/>
      <c r="K227"/>
      <c r="L227"/>
      <c r="M227"/>
      <c r="N227"/>
      <c r="O227"/>
    </row>
    <row r="228" spans="1:15" ht="15.6" thickTop="1" thickBot="1" x14ac:dyDescent="0.35">
      <c r="A228" s="51"/>
      <c r="B228" s="52"/>
      <c r="C228" s="51"/>
      <c r="D228" s="51"/>
      <c r="E228"/>
      <c r="F228"/>
      <c r="G228"/>
      <c r="H228"/>
      <c r="I228"/>
      <c r="J228"/>
      <c r="K228"/>
      <c r="L228"/>
      <c r="M228"/>
      <c r="N228"/>
      <c r="O228"/>
    </row>
    <row r="229" spans="1:15" ht="15.6" thickTop="1" thickBot="1" x14ac:dyDescent="0.35">
      <c r="A229" s="51"/>
      <c r="B229" s="52"/>
      <c r="C229" s="51"/>
      <c r="D229" s="51"/>
      <c r="E229"/>
      <c r="F229"/>
      <c r="G229"/>
      <c r="H229"/>
      <c r="I229"/>
      <c r="J229"/>
      <c r="K229"/>
      <c r="L229"/>
      <c r="M229"/>
      <c r="N229"/>
      <c r="O229"/>
    </row>
    <row r="230" spans="1:15" ht="15.6" thickTop="1" thickBot="1" x14ac:dyDescent="0.35">
      <c r="A230" s="51"/>
      <c r="B230" s="52"/>
      <c r="C230" s="51"/>
      <c r="D230" s="51"/>
      <c r="E230"/>
      <c r="F230"/>
      <c r="G230"/>
      <c r="H230"/>
      <c r="I230"/>
      <c r="J230"/>
      <c r="K230"/>
      <c r="L230"/>
      <c r="M230"/>
      <c r="N230"/>
      <c r="O230"/>
    </row>
    <row r="231" spans="1:15" ht="15.6" thickTop="1" thickBot="1" x14ac:dyDescent="0.35">
      <c r="A231" s="51"/>
      <c r="B231" s="52"/>
      <c r="C231" s="51"/>
      <c r="D231" s="51"/>
      <c r="E231"/>
      <c r="F231"/>
      <c r="G231"/>
      <c r="H231"/>
      <c r="I231"/>
      <c r="J231"/>
      <c r="K231"/>
      <c r="L231"/>
      <c r="M231"/>
      <c r="N231"/>
      <c r="O231"/>
    </row>
    <row r="232" spans="1:15" ht="15.6" thickTop="1" thickBot="1" x14ac:dyDescent="0.35">
      <c r="A232" s="51"/>
      <c r="B232" s="52"/>
      <c r="C232" s="51"/>
      <c r="D232" s="51"/>
      <c r="E232"/>
      <c r="F232"/>
      <c r="G232"/>
      <c r="H232"/>
      <c r="I232"/>
      <c r="J232"/>
      <c r="K232"/>
      <c r="L232"/>
      <c r="M232"/>
      <c r="N232"/>
      <c r="O232"/>
    </row>
    <row r="233" spans="1:15" ht="15.6" thickTop="1" thickBot="1" x14ac:dyDescent="0.35">
      <c r="A233" s="51"/>
      <c r="B233" s="52"/>
      <c r="C233" s="51"/>
      <c r="D233" s="51"/>
      <c r="E233"/>
      <c r="F233"/>
      <c r="G233"/>
      <c r="H233"/>
      <c r="I233"/>
      <c r="J233"/>
      <c r="K233"/>
      <c r="L233"/>
      <c r="M233"/>
      <c r="N233"/>
      <c r="O233"/>
    </row>
    <row r="234" spans="1:15" ht="15.6" thickTop="1" thickBot="1" x14ac:dyDescent="0.35">
      <c r="A234" s="51"/>
      <c r="B234" s="52"/>
      <c r="C234" s="51"/>
      <c r="D234" s="51"/>
      <c r="E234"/>
      <c r="F234"/>
      <c r="G234"/>
      <c r="H234"/>
      <c r="I234"/>
      <c r="J234"/>
      <c r="K234"/>
      <c r="L234"/>
      <c r="M234"/>
      <c r="N234"/>
      <c r="O234"/>
    </row>
    <row r="235" spans="1:15" ht="15.6" thickTop="1" thickBot="1" x14ac:dyDescent="0.35">
      <c r="A235" s="51"/>
      <c r="B235" s="52"/>
      <c r="C235" s="51"/>
      <c r="D235" s="51"/>
      <c r="E235"/>
      <c r="F235"/>
      <c r="G235"/>
      <c r="H235"/>
      <c r="I235"/>
      <c r="J235"/>
      <c r="K235"/>
      <c r="L235"/>
      <c r="M235"/>
      <c r="N235"/>
      <c r="O235"/>
    </row>
    <row r="236" spans="1:15" ht="15.6" thickTop="1" thickBot="1" x14ac:dyDescent="0.35">
      <c r="A236" s="51"/>
      <c r="B236" s="52"/>
      <c r="C236" s="51"/>
      <c r="D236" s="51"/>
      <c r="E236"/>
      <c r="F236"/>
      <c r="G236"/>
      <c r="H236"/>
      <c r="I236"/>
      <c r="J236"/>
      <c r="K236"/>
      <c r="L236"/>
      <c r="M236"/>
      <c r="N236"/>
      <c r="O236"/>
    </row>
    <row r="237" spans="1:15" ht="15.6" thickTop="1" thickBot="1" x14ac:dyDescent="0.35">
      <c r="A237" s="51"/>
      <c r="B237" s="52"/>
      <c r="C237" s="51"/>
      <c r="D237" s="51"/>
      <c r="E237"/>
      <c r="F237"/>
      <c r="G237"/>
      <c r="H237"/>
      <c r="I237"/>
      <c r="J237"/>
      <c r="K237"/>
      <c r="L237"/>
      <c r="M237"/>
      <c r="N237"/>
      <c r="O237"/>
    </row>
    <row r="238" spans="1:15" ht="15.6" thickTop="1" thickBot="1" x14ac:dyDescent="0.35">
      <c r="A238" s="51"/>
      <c r="B238" s="52"/>
      <c r="C238" s="51"/>
      <c r="D238" s="51"/>
      <c r="E238"/>
      <c r="F238"/>
      <c r="G238"/>
      <c r="H238"/>
      <c r="I238"/>
      <c r="J238"/>
      <c r="K238"/>
      <c r="L238"/>
      <c r="M238"/>
      <c r="N238"/>
      <c r="O238"/>
    </row>
    <row r="239" spans="1:15" ht="15.6" thickTop="1" thickBot="1" x14ac:dyDescent="0.35">
      <c r="A239" s="51"/>
      <c r="B239" s="52"/>
      <c r="C239" s="51"/>
      <c r="D239" s="51"/>
      <c r="E239"/>
      <c r="F239"/>
      <c r="G239"/>
      <c r="H239"/>
      <c r="I239"/>
      <c r="J239"/>
      <c r="K239"/>
      <c r="L239"/>
      <c r="M239"/>
      <c r="N239"/>
      <c r="O239"/>
    </row>
    <row r="240" spans="1:15" ht="15.6" thickTop="1" thickBot="1" x14ac:dyDescent="0.35">
      <c r="A240" s="51"/>
      <c r="B240" s="52"/>
      <c r="C240" s="51"/>
      <c r="D240" s="51"/>
      <c r="E240"/>
      <c r="F240"/>
      <c r="G240"/>
      <c r="H240"/>
      <c r="I240"/>
      <c r="J240"/>
      <c r="K240"/>
      <c r="L240"/>
      <c r="M240"/>
      <c r="N240"/>
      <c r="O240"/>
    </row>
    <row r="241" spans="1:15" ht="15.6" thickTop="1" thickBot="1" x14ac:dyDescent="0.35">
      <c r="A241" s="51"/>
      <c r="B241" s="52"/>
      <c r="C241" s="51"/>
      <c r="D241" s="51"/>
      <c r="E241"/>
      <c r="F241"/>
      <c r="G241"/>
      <c r="H241"/>
      <c r="I241"/>
      <c r="J241"/>
      <c r="K241"/>
      <c r="L241"/>
      <c r="M241"/>
      <c r="N241"/>
      <c r="O241"/>
    </row>
    <row r="242" spans="1:15" ht="15.6" thickTop="1" thickBot="1" x14ac:dyDescent="0.35">
      <c r="A242" s="51"/>
      <c r="B242" s="52"/>
      <c r="C242" s="51"/>
      <c r="D242" s="51"/>
      <c r="E242"/>
      <c r="F242"/>
      <c r="G242"/>
      <c r="H242"/>
      <c r="I242"/>
      <c r="J242"/>
      <c r="K242"/>
      <c r="L242"/>
      <c r="M242"/>
      <c r="N242"/>
      <c r="O242"/>
    </row>
    <row r="243" spans="1:15" ht="15.6" thickTop="1" thickBot="1" x14ac:dyDescent="0.35">
      <c r="A243" s="51"/>
      <c r="B243" s="52"/>
      <c r="C243" s="51"/>
      <c r="D243" s="51"/>
      <c r="E243"/>
      <c r="F243"/>
      <c r="G243"/>
      <c r="H243"/>
      <c r="I243"/>
      <c r="J243"/>
      <c r="K243"/>
      <c r="L243"/>
      <c r="M243"/>
      <c r="N243"/>
      <c r="O243"/>
    </row>
    <row r="244" spans="1:15" ht="15.6" thickTop="1" thickBot="1" x14ac:dyDescent="0.35">
      <c r="A244" s="51"/>
      <c r="B244" s="52"/>
      <c r="C244" s="51"/>
      <c r="D244" s="51"/>
      <c r="E244"/>
      <c r="F244"/>
      <c r="G244"/>
      <c r="H244"/>
      <c r="I244"/>
      <c r="J244"/>
      <c r="K244"/>
      <c r="L244"/>
      <c r="M244"/>
      <c r="N244"/>
      <c r="O244"/>
    </row>
    <row r="245" spans="1:15" ht="15.6" thickTop="1" thickBot="1" x14ac:dyDescent="0.35">
      <c r="A245" s="51"/>
      <c r="B245" s="52"/>
      <c r="C245" s="51"/>
      <c r="D245" s="51"/>
      <c r="E245"/>
      <c r="F245"/>
      <c r="G245"/>
      <c r="H245"/>
      <c r="I245"/>
      <c r="J245"/>
      <c r="K245"/>
      <c r="L245"/>
      <c r="M245"/>
      <c r="N245"/>
      <c r="O245"/>
    </row>
    <row r="246" spans="1:15" ht="15.6" thickTop="1" thickBot="1" x14ac:dyDescent="0.35">
      <c r="A246" s="51"/>
      <c r="B246" s="52"/>
      <c r="C246" s="51"/>
      <c r="D246" s="51"/>
      <c r="E246"/>
      <c r="F246"/>
      <c r="G246"/>
      <c r="H246"/>
      <c r="I246"/>
      <c r="J246"/>
      <c r="K246"/>
      <c r="L246"/>
      <c r="M246"/>
      <c r="N246"/>
      <c r="O246"/>
    </row>
    <row r="247" spans="1:15" ht="15.6" thickTop="1" thickBot="1" x14ac:dyDescent="0.35">
      <c r="A247" s="51"/>
      <c r="B247" s="52"/>
      <c r="C247" s="51"/>
      <c r="D247" s="51"/>
      <c r="E247"/>
      <c r="F247"/>
      <c r="G247"/>
      <c r="H247"/>
      <c r="I247"/>
      <c r="J247"/>
      <c r="K247"/>
      <c r="L247"/>
      <c r="M247"/>
      <c r="N247"/>
      <c r="O247"/>
    </row>
    <row r="248" spans="1:15" ht="15.6" thickTop="1" thickBot="1" x14ac:dyDescent="0.35">
      <c r="A248" s="51"/>
      <c r="B248" s="52"/>
      <c r="C248" s="51"/>
      <c r="D248" s="51"/>
      <c r="E248"/>
      <c r="F248"/>
      <c r="G248"/>
      <c r="H248"/>
      <c r="I248"/>
      <c r="J248"/>
      <c r="K248"/>
      <c r="L248"/>
      <c r="M248"/>
      <c r="N248"/>
      <c r="O248"/>
    </row>
    <row r="249" spans="1:15" ht="15.6" thickTop="1" thickBot="1" x14ac:dyDescent="0.35">
      <c r="A249" s="51"/>
      <c r="B249" s="52"/>
      <c r="C249" s="51"/>
      <c r="D249" s="51"/>
      <c r="E249"/>
      <c r="F249"/>
      <c r="G249"/>
      <c r="H249"/>
      <c r="I249"/>
      <c r="J249"/>
      <c r="K249"/>
      <c r="L249"/>
      <c r="M249"/>
      <c r="N249"/>
      <c r="O249"/>
    </row>
    <row r="250" spans="1:15" ht="15.6" thickTop="1" thickBot="1" x14ac:dyDescent="0.35">
      <c r="A250" s="51"/>
      <c r="B250" s="52"/>
      <c r="C250" s="51"/>
      <c r="D250" s="51"/>
      <c r="E250"/>
      <c r="F250"/>
      <c r="G250"/>
      <c r="H250"/>
      <c r="I250"/>
      <c r="J250"/>
      <c r="K250"/>
      <c r="L250"/>
      <c r="M250"/>
      <c r="N250"/>
      <c r="O250"/>
    </row>
    <row r="251" spans="1:15" ht="15.6" thickTop="1" thickBot="1" x14ac:dyDescent="0.35">
      <c r="A251" s="51"/>
      <c r="B251" s="52"/>
      <c r="C251" s="51"/>
      <c r="D251" s="51"/>
      <c r="E251"/>
      <c r="F251"/>
      <c r="G251"/>
      <c r="H251"/>
      <c r="I251"/>
      <c r="J251"/>
      <c r="K251"/>
      <c r="L251"/>
      <c r="M251"/>
      <c r="N251"/>
      <c r="O251"/>
    </row>
    <row r="252" spans="1:15" ht="15.6" thickTop="1" thickBot="1" x14ac:dyDescent="0.35">
      <c r="A252" s="51"/>
      <c r="B252" s="52"/>
      <c r="C252" s="51"/>
      <c r="D252" s="51"/>
      <c r="E252"/>
      <c r="F252"/>
      <c r="G252"/>
      <c r="H252"/>
      <c r="I252"/>
      <c r="J252"/>
      <c r="K252"/>
      <c r="L252"/>
      <c r="M252"/>
      <c r="N252"/>
      <c r="O252"/>
    </row>
    <row r="253" spans="1:15" ht="15.6" thickTop="1" thickBot="1" x14ac:dyDescent="0.35">
      <c r="A253" s="51"/>
      <c r="B253" s="52"/>
      <c r="C253" s="51"/>
      <c r="D253" s="51"/>
      <c r="E253"/>
      <c r="F253"/>
      <c r="G253"/>
      <c r="H253"/>
      <c r="I253"/>
      <c r="J253"/>
      <c r="K253"/>
      <c r="L253"/>
      <c r="M253"/>
      <c r="N253"/>
      <c r="O253"/>
    </row>
    <row r="254" spans="1:15" ht="15.6" thickTop="1" thickBot="1" x14ac:dyDescent="0.35">
      <c r="A254" s="51"/>
      <c r="B254" s="52"/>
      <c r="C254" s="51"/>
      <c r="D254" s="51"/>
      <c r="E254"/>
      <c r="F254"/>
      <c r="G254"/>
      <c r="H254"/>
      <c r="I254"/>
      <c r="J254"/>
      <c r="K254"/>
      <c r="L254"/>
      <c r="M254"/>
      <c r="N254"/>
      <c r="O254"/>
    </row>
    <row r="255" spans="1:15" ht="15.6" thickTop="1" thickBot="1" x14ac:dyDescent="0.35">
      <c r="A255" s="51"/>
      <c r="B255" s="52"/>
      <c r="C255" s="51"/>
      <c r="D255" s="51"/>
      <c r="E255"/>
      <c r="F255"/>
      <c r="G255"/>
      <c r="H255"/>
      <c r="I255"/>
      <c r="J255"/>
      <c r="K255"/>
      <c r="L255"/>
      <c r="M255"/>
      <c r="N255"/>
      <c r="O255"/>
    </row>
    <row r="256" spans="1:15" ht="15.6" thickTop="1" thickBot="1" x14ac:dyDescent="0.35">
      <c r="A256" s="51"/>
      <c r="B256" s="52"/>
      <c r="C256" s="51"/>
      <c r="D256" s="51"/>
      <c r="E256"/>
      <c r="F256"/>
      <c r="G256"/>
      <c r="H256"/>
      <c r="I256"/>
      <c r="J256"/>
      <c r="K256"/>
      <c r="L256"/>
      <c r="M256"/>
      <c r="N256"/>
      <c r="O256"/>
    </row>
    <row r="257" spans="1:15" ht="15.6" thickTop="1" thickBot="1" x14ac:dyDescent="0.35">
      <c r="A257" s="51"/>
      <c r="B257" s="52"/>
      <c r="C257" s="51"/>
      <c r="D257" s="51"/>
      <c r="E257"/>
      <c r="F257"/>
      <c r="G257"/>
      <c r="H257"/>
      <c r="I257"/>
      <c r="J257"/>
      <c r="K257"/>
      <c r="L257"/>
      <c r="M257"/>
      <c r="N257"/>
      <c r="O257"/>
    </row>
    <row r="258" spans="1:15" ht="15.6" thickTop="1" thickBot="1" x14ac:dyDescent="0.35">
      <c r="A258" s="51"/>
      <c r="B258" s="52"/>
      <c r="C258" s="51"/>
      <c r="D258" s="51"/>
      <c r="E258"/>
      <c r="F258"/>
      <c r="G258"/>
      <c r="H258"/>
      <c r="I258"/>
      <c r="J258"/>
      <c r="K258"/>
      <c r="L258"/>
      <c r="M258"/>
      <c r="N258"/>
      <c r="O258"/>
    </row>
    <row r="259" spans="1:15" ht="15.6" thickTop="1" thickBot="1" x14ac:dyDescent="0.35">
      <c r="A259" s="51"/>
      <c r="B259" s="52"/>
      <c r="C259" s="51"/>
      <c r="D259" s="51"/>
      <c r="E259"/>
      <c r="F259"/>
      <c r="G259"/>
      <c r="H259"/>
      <c r="I259"/>
      <c r="J259"/>
      <c r="K259"/>
      <c r="L259"/>
      <c r="M259"/>
      <c r="N259"/>
      <c r="O259"/>
    </row>
    <row r="260" spans="1:15" ht="15.6" thickTop="1" thickBot="1" x14ac:dyDescent="0.35">
      <c r="A260" s="51"/>
      <c r="B260" s="52"/>
      <c r="C260" s="51"/>
      <c r="D260" s="51"/>
      <c r="E260"/>
      <c r="F260"/>
      <c r="G260"/>
      <c r="H260"/>
      <c r="I260"/>
      <c r="J260"/>
      <c r="K260"/>
      <c r="L260"/>
      <c r="M260"/>
      <c r="N260"/>
      <c r="O260"/>
    </row>
    <row r="261" spans="1:15" ht="15.6" thickTop="1" thickBot="1" x14ac:dyDescent="0.35">
      <c r="A261" s="51"/>
      <c r="B261" s="52"/>
      <c r="C261" s="51"/>
      <c r="D261" s="51"/>
      <c r="E261"/>
      <c r="F261"/>
      <c r="G261"/>
      <c r="H261"/>
      <c r="I261"/>
      <c r="J261"/>
      <c r="K261"/>
      <c r="L261"/>
      <c r="M261"/>
      <c r="N261"/>
      <c r="O261"/>
    </row>
    <row r="262" spans="1:15" ht="15.6" thickTop="1" thickBot="1" x14ac:dyDescent="0.35">
      <c r="A262" s="51"/>
      <c r="B262" s="52"/>
      <c r="C262" s="51"/>
      <c r="D262" s="51"/>
      <c r="E262"/>
      <c r="F262"/>
      <c r="G262"/>
      <c r="H262"/>
      <c r="I262"/>
      <c r="J262"/>
      <c r="K262"/>
      <c r="L262"/>
      <c r="M262"/>
      <c r="N262"/>
      <c r="O262"/>
    </row>
    <row r="263" spans="1:15" ht="15.6" thickTop="1" thickBot="1" x14ac:dyDescent="0.35">
      <c r="A263" s="51"/>
      <c r="B263" s="52"/>
      <c r="C263" s="51"/>
      <c r="D263" s="51"/>
      <c r="E263"/>
      <c r="F263"/>
      <c r="G263"/>
      <c r="H263"/>
      <c r="I263"/>
      <c r="J263"/>
      <c r="K263"/>
      <c r="L263"/>
      <c r="M263"/>
      <c r="N263"/>
      <c r="O263"/>
    </row>
    <row r="264" spans="1:15" ht="15.6" thickTop="1" thickBot="1" x14ac:dyDescent="0.35">
      <c r="A264" s="51"/>
      <c r="B264" s="52"/>
      <c r="C264" s="51"/>
      <c r="D264" s="51"/>
      <c r="E264"/>
      <c r="F264"/>
      <c r="G264"/>
      <c r="H264"/>
      <c r="I264"/>
      <c r="J264"/>
      <c r="K264"/>
      <c r="L264"/>
      <c r="M264"/>
      <c r="N264"/>
      <c r="O264"/>
    </row>
    <row r="265" spans="1:15" ht="15.6" thickTop="1" thickBot="1" x14ac:dyDescent="0.35">
      <c r="A265" s="51"/>
      <c r="B265" s="52"/>
      <c r="C265" s="51"/>
      <c r="D265" s="51"/>
      <c r="E265"/>
      <c r="F265"/>
      <c r="G265"/>
      <c r="H265"/>
      <c r="I265"/>
      <c r="J265"/>
      <c r="K265"/>
      <c r="L265"/>
      <c r="M265"/>
      <c r="N265"/>
      <c r="O265"/>
    </row>
    <row r="266" spans="1:15" ht="15.6" thickTop="1" thickBot="1" x14ac:dyDescent="0.35">
      <c r="A266" s="51"/>
      <c r="B266" s="52"/>
      <c r="C266" s="51"/>
      <c r="D266" s="51"/>
      <c r="E266"/>
      <c r="F266"/>
      <c r="G266"/>
      <c r="H266"/>
      <c r="I266"/>
      <c r="J266"/>
      <c r="K266"/>
      <c r="L266"/>
      <c r="M266"/>
      <c r="N266"/>
      <c r="O266"/>
    </row>
    <row r="267" spans="1:15" ht="15.6" thickTop="1" thickBot="1" x14ac:dyDescent="0.35">
      <c r="A267" s="51"/>
      <c r="B267" s="52"/>
      <c r="C267" s="51"/>
      <c r="D267" s="51"/>
      <c r="E267"/>
      <c r="F267"/>
      <c r="G267"/>
      <c r="H267"/>
      <c r="I267"/>
      <c r="J267"/>
      <c r="K267"/>
      <c r="L267"/>
      <c r="M267"/>
      <c r="N267"/>
      <c r="O267"/>
    </row>
    <row r="268" spans="1:15" ht="15.6" thickTop="1" thickBot="1" x14ac:dyDescent="0.35">
      <c r="A268" s="51"/>
      <c r="B268" s="52"/>
      <c r="C268" s="51"/>
      <c r="D268" s="51"/>
      <c r="E268"/>
      <c r="F268"/>
      <c r="G268"/>
      <c r="H268"/>
      <c r="I268"/>
      <c r="J268"/>
      <c r="K268"/>
      <c r="L268"/>
      <c r="M268"/>
      <c r="N268"/>
      <c r="O268"/>
    </row>
    <row r="269" spans="1:15" ht="15.6" thickTop="1" thickBot="1" x14ac:dyDescent="0.35">
      <c r="A269" s="51"/>
      <c r="B269" s="52"/>
      <c r="C269" s="51"/>
      <c r="D269" s="51"/>
      <c r="E269"/>
      <c r="F269"/>
      <c r="G269"/>
      <c r="H269"/>
      <c r="I269"/>
      <c r="J269"/>
      <c r="K269"/>
      <c r="L269"/>
      <c r="M269"/>
      <c r="N269"/>
      <c r="O269"/>
    </row>
    <row r="270" spans="1:15" ht="15.6" thickTop="1" thickBot="1" x14ac:dyDescent="0.35">
      <c r="A270" s="51"/>
      <c r="B270" s="52"/>
      <c r="C270" s="51"/>
      <c r="D270" s="51"/>
      <c r="E270"/>
      <c r="F270"/>
      <c r="G270"/>
      <c r="H270"/>
      <c r="I270"/>
      <c r="J270"/>
      <c r="K270"/>
      <c r="L270"/>
      <c r="M270"/>
      <c r="N270"/>
      <c r="O270"/>
    </row>
    <row r="271" spans="1:15" ht="15.6" thickTop="1" thickBot="1" x14ac:dyDescent="0.35">
      <c r="A271" s="51"/>
      <c r="B271" s="52"/>
      <c r="C271" s="51"/>
      <c r="D271" s="51"/>
      <c r="E271"/>
      <c r="F271"/>
      <c r="G271"/>
      <c r="H271"/>
      <c r="I271"/>
      <c r="J271"/>
      <c r="K271"/>
      <c r="L271"/>
      <c r="M271"/>
      <c r="N271"/>
      <c r="O271"/>
    </row>
    <row r="272" spans="1:15" ht="15.6" thickTop="1" thickBot="1" x14ac:dyDescent="0.35">
      <c r="A272" s="51"/>
      <c r="B272" s="52"/>
      <c r="C272" s="51"/>
      <c r="D272" s="51"/>
      <c r="E272"/>
      <c r="F272"/>
      <c r="G272"/>
      <c r="H272"/>
      <c r="I272"/>
      <c r="J272"/>
      <c r="K272"/>
      <c r="L272"/>
      <c r="M272"/>
      <c r="N272"/>
      <c r="O272"/>
    </row>
    <row r="273" spans="1:15" ht="15.6" thickTop="1" thickBot="1" x14ac:dyDescent="0.35">
      <c r="A273" s="51"/>
      <c r="B273" s="52"/>
      <c r="C273" s="51"/>
      <c r="D273" s="51"/>
      <c r="E273"/>
      <c r="F273"/>
      <c r="G273"/>
      <c r="H273"/>
      <c r="I273"/>
      <c r="J273"/>
      <c r="K273"/>
      <c r="L273"/>
      <c r="M273"/>
      <c r="N273"/>
      <c r="O273"/>
    </row>
    <row r="274" spans="1:15" ht="15.6" thickTop="1" thickBot="1" x14ac:dyDescent="0.35">
      <c r="A274" s="51"/>
      <c r="B274" s="52"/>
      <c r="C274" s="51"/>
      <c r="D274" s="51"/>
      <c r="E274"/>
      <c r="F274"/>
      <c r="G274"/>
      <c r="H274"/>
      <c r="I274"/>
      <c r="J274"/>
      <c r="K274"/>
      <c r="L274"/>
      <c r="M274"/>
      <c r="N274"/>
      <c r="O274"/>
    </row>
    <row r="275" spans="1:15" ht="15.6" thickTop="1" thickBot="1" x14ac:dyDescent="0.35">
      <c r="A275" s="51"/>
      <c r="B275" s="52"/>
      <c r="C275" s="51"/>
      <c r="D275" s="51"/>
      <c r="E275"/>
      <c r="F275"/>
      <c r="G275"/>
      <c r="H275"/>
      <c r="I275"/>
      <c r="J275"/>
      <c r="K275"/>
      <c r="L275"/>
      <c r="M275"/>
      <c r="N275"/>
      <c r="O275"/>
    </row>
    <row r="276" spans="1:15" ht="15.6" thickTop="1" thickBot="1" x14ac:dyDescent="0.35">
      <c r="A276" s="51"/>
      <c r="B276" s="52"/>
      <c r="C276" s="51"/>
      <c r="D276" s="51"/>
      <c r="E276"/>
      <c r="F276"/>
      <c r="G276"/>
      <c r="H276"/>
      <c r="I276"/>
      <c r="J276"/>
      <c r="K276"/>
      <c r="L276"/>
      <c r="M276"/>
      <c r="N276"/>
      <c r="O276"/>
    </row>
    <row r="277" spans="1:15" ht="15.6" thickTop="1" thickBot="1" x14ac:dyDescent="0.35">
      <c r="A277" s="51"/>
      <c r="B277" s="52"/>
      <c r="C277" s="51"/>
      <c r="D277" s="51"/>
      <c r="E277"/>
      <c r="F277"/>
      <c r="G277"/>
      <c r="H277"/>
      <c r="I277"/>
      <c r="J277"/>
      <c r="K277"/>
      <c r="L277"/>
      <c r="M277"/>
      <c r="N277"/>
      <c r="O277"/>
    </row>
    <row r="278" spans="1:15" ht="15.6" thickTop="1" thickBot="1" x14ac:dyDescent="0.35">
      <c r="A278" s="51"/>
      <c r="B278" s="52"/>
      <c r="C278" s="51"/>
      <c r="D278" s="51"/>
      <c r="E278"/>
      <c r="F278"/>
      <c r="G278"/>
      <c r="H278"/>
      <c r="I278"/>
      <c r="J278"/>
      <c r="K278"/>
      <c r="L278"/>
      <c r="M278"/>
      <c r="N278"/>
      <c r="O278"/>
    </row>
    <row r="279" spans="1:15" ht="15.6" thickTop="1" thickBot="1" x14ac:dyDescent="0.35">
      <c r="A279" s="51"/>
      <c r="B279" s="52"/>
      <c r="C279" s="51"/>
      <c r="D279" s="51"/>
      <c r="E279"/>
      <c r="F279"/>
      <c r="G279"/>
      <c r="H279"/>
      <c r="I279"/>
      <c r="J279"/>
      <c r="K279"/>
      <c r="L279"/>
      <c r="M279"/>
      <c r="N279"/>
      <c r="O279"/>
    </row>
    <row r="280" spans="1:15" ht="15.6" thickTop="1" thickBot="1" x14ac:dyDescent="0.35">
      <c r="A280" s="51"/>
      <c r="B280" s="52"/>
      <c r="C280" s="51"/>
      <c r="D280" s="51"/>
      <c r="E280"/>
      <c r="F280"/>
      <c r="G280"/>
      <c r="H280"/>
      <c r="I280"/>
      <c r="J280"/>
      <c r="K280"/>
      <c r="L280"/>
      <c r="M280"/>
      <c r="N280"/>
      <c r="O280"/>
    </row>
    <row r="281" spans="1:15" ht="15.6" thickTop="1" thickBot="1" x14ac:dyDescent="0.35">
      <c r="A281" s="51"/>
      <c r="B281" s="52"/>
      <c r="C281" s="51"/>
      <c r="D281" s="51"/>
      <c r="E281"/>
      <c r="F281"/>
      <c r="G281"/>
      <c r="H281"/>
      <c r="I281"/>
      <c r="J281"/>
      <c r="K281"/>
      <c r="L281"/>
      <c r="M281"/>
      <c r="N281"/>
      <c r="O281"/>
    </row>
    <row r="282" spans="1:15" ht="15.6" thickTop="1" thickBot="1" x14ac:dyDescent="0.35">
      <c r="A282" s="51"/>
      <c r="B282" s="52"/>
      <c r="C282" s="51"/>
      <c r="D282" s="51"/>
      <c r="E282"/>
      <c r="F282"/>
      <c r="G282"/>
      <c r="H282"/>
      <c r="I282"/>
      <c r="J282"/>
      <c r="K282"/>
      <c r="L282"/>
      <c r="M282"/>
      <c r="N282"/>
      <c r="O282"/>
    </row>
    <row r="283" spans="1:15" ht="15.6" thickTop="1" thickBot="1" x14ac:dyDescent="0.35">
      <c r="A283" s="51"/>
      <c r="B283" s="52"/>
      <c r="C283" s="51"/>
      <c r="D283" s="51"/>
      <c r="E283"/>
      <c r="F283"/>
      <c r="G283"/>
      <c r="H283"/>
      <c r="I283"/>
      <c r="J283"/>
      <c r="K283"/>
      <c r="L283"/>
      <c r="M283"/>
      <c r="N283"/>
      <c r="O283"/>
    </row>
    <row r="284" spans="1:15" ht="15.6" thickTop="1" thickBot="1" x14ac:dyDescent="0.35">
      <c r="A284" s="51"/>
      <c r="B284" s="52"/>
      <c r="C284" s="51"/>
      <c r="D284" s="51"/>
      <c r="E284"/>
      <c r="F284"/>
      <c r="G284"/>
      <c r="H284"/>
      <c r="I284"/>
      <c r="J284"/>
      <c r="K284"/>
      <c r="L284"/>
      <c r="M284"/>
      <c r="N284"/>
      <c r="O284"/>
    </row>
    <row r="285" spans="1:15" ht="15.6" thickTop="1" thickBot="1" x14ac:dyDescent="0.35">
      <c r="A285" s="51"/>
      <c r="B285" s="52"/>
      <c r="C285" s="51"/>
      <c r="D285" s="51"/>
      <c r="E285"/>
      <c r="F285"/>
      <c r="G285"/>
      <c r="H285"/>
      <c r="I285"/>
      <c r="J285"/>
      <c r="K285"/>
      <c r="L285"/>
      <c r="M285"/>
      <c r="N285"/>
      <c r="O285"/>
    </row>
    <row r="286" spans="1:15" ht="15.6" thickTop="1" thickBot="1" x14ac:dyDescent="0.35">
      <c r="A286" s="51"/>
      <c r="B286" s="52"/>
      <c r="C286" s="51"/>
      <c r="D286" s="51"/>
      <c r="E286"/>
      <c r="F286"/>
      <c r="G286"/>
      <c r="H286"/>
      <c r="I286"/>
      <c r="J286"/>
      <c r="K286"/>
      <c r="L286"/>
      <c r="M286"/>
      <c r="N286"/>
      <c r="O286"/>
    </row>
    <row r="287" spans="1:15" ht="15.6" thickTop="1" thickBot="1" x14ac:dyDescent="0.35">
      <c r="A287" s="51"/>
      <c r="B287" s="52"/>
      <c r="C287" s="51"/>
      <c r="D287" s="51"/>
      <c r="E287"/>
      <c r="F287"/>
      <c r="G287"/>
      <c r="H287"/>
      <c r="I287"/>
      <c r="J287"/>
      <c r="K287"/>
      <c r="L287"/>
      <c r="M287"/>
      <c r="N287"/>
      <c r="O287"/>
    </row>
    <row r="288" spans="1:15" ht="15.6" thickTop="1" thickBot="1" x14ac:dyDescent="0.35">
      <c r="A288" s="51"/>
      <c r="B288" s="52"/>
      <c r="C288" s="51"/>
      <c r="D288" s="51"/>
      <c r="E288"/>
      <c r="F288"/>
      <c r="G288"/>
      <c r="H288"/>
      <c r="I288"/>
      <c r="J288"/>
      <c r="K288"/>
      <c r="L288"/>
      <c r="M288"/>
      <c r="N288"/>
      <c r="O288"/>
    </row>
    <row r="289" spans="1:15" ht="15.6" thickTop="1" thickBot="1" x14ac:dyDescent="0.35">
      <c r="A289" s="51"/>
      <c r="B289" s="52"/>
      <c r="C289" s="51"/>
      <c r="D289" s="51"/>
      <c r="E289"/>
      <c r="F289"/>
      <c r="G289"/>
      <c r="H289"/>
      <c r="I289"/>
      <c r="J289"/>
      <c r="K289"/>
      <c r="L289"/>
      <c r="M289"/>
      <c r="N289"/>
      <c r="O289"/>
    </row>
    <row r="290" spans="1:15" ht="15.6" thickTop="1" thickBot="1" x14ac:dyDescent="0.35">
      <c r="A290" s="51"/>
      <c r="B290" s="52"/>
      <c r="C290" s="51"/>
      <c r="D290" s="51"/>
      <c r="E290"/>
      <c r="F290"/>
      <c r="G290"/>
      <c r="H290"/>
      <c r="I290"/>
      <c r="J290"/>
      <c r="K290"/>
      <c r="L290"/>
      <c r="M290"/>
      <c r="N290"/>
      <c r="O290"/>
    </row>
    <row r="291" spans="1:15" ht="15.6" thickTop="1" thickBot="1" x14ac:dyDescent="0.35">
      <c r="A291" s="51"/>
      <c r="B291" s="52"/>
      <c r="C291" s="51"/>
      <c r="D291" s="51"/>
      <c r="E291"/>
      <c r="F291"/>
      <c r="G291"/>
      <c r="H291"/>
      <c r="I291"/>
      <c r="J291"/>
      <c r="K291"/>
      <c r="L291"/>
      <c r="M291"/>
      <c r="N291"/>
      <c r="O291"/>
    </row>
    <row r="292" spans="1:15" ht="15.6" thickTop="1" thickBot="1" x14ac:dyDescent="0.35">
      <c r="A292" s="51"/>
      <c r="B292" s="52"/>
      <c r="C292" s="51"/>
      <c r="D292" s="51"/>
      <c r="E292"/>
      <c r="F292"/>
      <c r="G292"/>
      <c r="H292"/>
      <c r="I292"/>
      <c r="J292"/>
      <c r="K292"/>
      <c r="L292"/>
      <c r="M292"/>
      <c r="N292"/>
      <c r="O292"/>
    </row>
    <row r="293" spans="1:15" ht="15.6" thickTop="1" thickBot="1" x14ac:dyDescent="0.35">
      <c r="A293" s="51"/>
      <c r="B293" s="52"/>
      <c r="C293" s="51"/>
      <c r="D293" s="51"/>
      <c r="E293"/>
      <c r="F293"/>
      <c r="G293"/>
      <c r="H293"/>
      <c r="I293"/>
      <c r="J293"/>
      <c r="K293"/>
      <c r="L293"/>
      <c r="M293"/>
      <c r="N293"/>
      <c r="O293"/>
    </row>
    <row r="294" spans="1:15" ht="15.6" thickTop="1" thickBot="1" x14ac:dyDescent="0.35">
      <c r="A294" s="51"/>
      <c r="B294" s="52"/>
      <c r="C294" s="51"/>
      <c r="D294" s="51"/>
      <c r="E294"/>
      <c r="F294"/>
      <c r="G294"/>
      <c r="H294"/>
      <c r="I294"/>
      <c r="J294"/>
      <c r="K294"/>
      <c r="L294"/>
      <c r="M294"/>
      <c r="N294"/>
      <c r="O294"/>
    </row>
    <row r="295" spans="1:15" ht="15.6" thickTop="1" thickBot="1" x14ac:dyDescent="0.35">
      <c r="A295" s="51"/>
      <c r="B295" s="52"/>
      <c r="C295" s="51"/>
      <c r="D295" s="51"/>
      <c r="E295"/>
      <c r="F295"/>
      <c r="G295"/>
      <c r="H295"/>
      <c r="I295"/>
      <c r="J295"/>
      <c r="K295"/>
      <c r="L295"/>
      <c r="M295"/>
      <c r="N295"/>
      <c r="O295"/>
    </row>
    <row r="296" spans="1:15" ht="15.6" thickTop="1" thickBot="1" x14ac:dyDescent="0.35">
      <c r="A296" s="51"/>
      <c r="B296" s="52"/>
      <c r="C296" s="51"/>
      <c r="D296" s="51"/>
      <c r="E296"/>
      <c r="F296"/>
      <c r="G296"/>
      <c r="H296"/>
      <c r="I296"/>
      <c r="J296"/>
      <c r="K296"/>
      <c r="L296"/>
      <c r="M296"/>
      <c r="N296"/>
      <c r="O296"/>
    </row>
    <row r="297" spans="1:15" ht="15.6" thickTop="1" thickBot="1" x14ac:dyDescent="0.35">
      <c r="A297" s="51"/>
      <c r="B297" s="52"/>
      <c r="C297" s="51"/>
      <c r="D297" s="51"/>
      <c r="E297"/>
      <c r="F297"/>
      <c r="G297"/>
      <c r="H297"/>
      <c r="I297"/>
      <c r="J297"/>
      <c r="K297"/>
      <c r="L297"/>
      <c r="M297"/>
      <c r="N297"/>
      <c r="O297"/>
    </row>
    <row r="298" spans="1:15" ht="15.6" thickTop="1" thickBot="1" x14ac:dyDescent="0.35">
      <c r="A298" s="51"/>
      <c r="B298" s="52"/>
      <c r="C298" s="51"/>
      <c r="D298" s="51"/>
      <c r="E298"/>
      <c r="F298"/>
      <c r="G298"/>
      <c r="H298"/>
      <c r="I298"/>
      <c r="J298"/>
      <c r="K298"/>
      <c r="L298"/>
      <c r="M298"/>
      <c r="N298"/>
      <c r="O298"/>
    </row>
    <row r="299" spans="1:15" ht="15.6" thickTop="1" thickBot="1" x14ac:dyDescent="0.35">
      <c r="A299" s="51"/>
      <c r="B299" s="52"/>
      <c r="C299" s="51"/>
      <c r="D299" s="51"/>
      <c r="E299"/>
      <c r="F299"/>
      <c r="G299"/>
      <c r="H299"/>
      <c r="I299"/>
      <c r="J299"/>
      <c r="K299"/>
      <c r="L299"/>
      <c r="M299"/>
      <c r="N299"/>
      <c r="O299"/>
    </row>
    <row r="300" spans="1:15" ht="15.6" thickTop="1" thickBot="1" x14ac:dyDescent="0.35">
      <c r="A300" s="51"/>
      <c r="B300" s="52"/>
      <c r="C300" s="51"/>
      <c r="D300" s="51"/>
      <c r="E300"/>
      <c r="F300"/>
      <c r="G300"/>
      <c r="H300"/>
      <c r="I300"/>
      <c r="J300"/>
      <c r="K300"/>
      <c r="L300"/>
      <c r="M300"/>
      <c r="N300"/>
      <c r="O300"/>
    </row>
    <row r="301" spans="1:15" ht="15.6" thickTop="1" thickBot="1" x14ac:dyDescent="0.35">
      <c r="A301" s="51"/>
      <c r="B301" s="52"/>
      <c r="C301" s="51"/>
      <c r="D301" s="51"/>
      <c r="E301"/>
      <c r="F301"/>
      <c r="G301"/>
      <c r="H301"/>
      <c r="I301"/>
      <c r="J301"/>
      <c r="K301"/>
      <c r="L301"/>
      <c r="M301"/>
      <c r="N301"/>
      <c r="O301"/>
    </row>
    <row r="302" spans="1:15" ht="15.6" thickTop="1" thickBot="1" x14ac:dyDescent="0.35">
      <c r="A302" s="51"/>
      <c r="B302" s="52"/>
      <c r="C302" s="51"/>
      <c r="D302" s="51"/>
      <c r="E302"/>
      <c r="F302"/>
      <c r="G302"/>
      <c r="H302"/>
      <c r="I302"/>
      <c r="J302"/>
      <c r="K302"/>
      <c r="L302"/>
      <c r="M302"/>
      <c r="N302"/>
      <c r="O302"/>
    </row>
    <row r="303" spans="1:15" ht="15.6" thickTop="1" thickBot="1" x14ac:dyDescent="0.35">
      <c r="A303" s="51"/>
      <c r="B303" s="52"/>
      <c r="C303" s="51"/>
      <c r="D303" s="51"/>
      <c r="E303"/>
      <c r="F303"/>
      <c r="G303"/>
      <c r="H303"/>
      <c r="I303"/>
      <c r="J303"/>
      <c r="K303"/>
      <c r="L303"/>
      <c r="M303"/>
      <c r="N303"/>
      <c r="O303"/>
    </row>
    <row r="304" spans="1:15" ht="15.6" thickTop="1" thickBot="1" x14ac:dyDescent="0.35">
      <c r="A304" s="51"/>
      <c r="B304" s="52"/>
      <c r="C304" s="51"/>
      <c r="D304" s="51"/>
      <c r="E304"/>
      <c r="F304"/>
      <c r="G304"/>
      <c r="H304"/>
      <c r="I304"/>
      <c r="J304"/>
      <c r="K304"/>
      <c r="L304"/>
      <c r="M304"/>
      <c r="N304"/>
      <c r="O304"/>
    </row>
    <row r="305" spans="1:15" ht="15.6" thickTop="1" thickBot="1" x14ac:dyDescent="0.35">
      <c r="A305" s="51"/>
      <c r="B305" s="52"/>
      <c r="C305" s="51"/>
      <c r="D305" s="51"/>
      <c r="E305"/>
      <c r="F305"/>
      <c r="G305"/>
      <c r="H305"/>
      <c r="I305"/>
      <c r="J305"/>
      <c r="K305"/>
      <c r="L305"/>
      <c r="M305"/>
      <c r="N305"/>
      <c r="O305"/>
    </row>
    <row r="306" spans="1:15" ht="15.6" thickTop="1" thickBot="1" x14ac:dyDescent="0.35">
      <c r="A306" s="51"/>
      <c r="B306" s="52"/>
      <c r="C306" s="51"/>
      <c r="D306" s="51"/>
      <c r="E306"/>
      <c r="F306"/>
      <c r="G306"/>
      <c r="H306"/>
      <c r="I306"/>
      <c r="J306"/>
      <c r="K306"/>
      <c r="L306"/>
      <c r="M306"/>
      <c r="N306"/>
      <c r="O306"/>
    </row>
    <row r="307" spans="1:15" ht="15.6" thickTop="1" thickBot="1" x14ac:dyDescent="0.35">
      <c r="A307" s="51"/>
      <c r="B307" s="52"/>
      <c r="C307" s="51"/>
      <c r="D307" s="51"/>
      <c r="E307"/>
      <c r="F307"/>
      <c r="G307"/>
      <c r="H307"/>
      <c r="I307"/>
      <c r="J307"/>
      <c r="K307"/>
      <c r="L307"/>
      <c r="M307"/>
      <c r="N307"/>
      <c r="O307"/>
    </row>
    <row r="308" spans="1:15" ht="15.6" thickTop="1" thickBot="1" x14ac:dyDescent="0.35">
      <c r="A308" s="51"/>
      <c r="B308" s="52"/>
      <c r="C308" s="51"/>
      <c r="D308" s="51"/>
      <c r="E308"/>
      <c r="F308"/>
      <c r="G308"/>
      <c r="H308"/>
      <c r="I308"/>
      <c r="J308"/>
      <c r="K308"/>
      <c r="L308"/>
      <c r="M308"/>
      <c r="N308"/>
      <c r="O308"/>
    </row>
    <row r="309" spans="1:15" ht="15.6" thickTop="1" thickBot="1" x14ac:dyDescent="0.35">
      <c r="A309" s="51"/>
      <c r="B309" s="52"/>
      <c r="C309" s="51"/>
      <c r="D309" s="51"/>
      <c r="E309"/>
      <c r="F309"/>
      <c r="G309"/>
      <c r="H309"/>
      <c r="I309"/>
      <c r="J309"/>
      <c r="K309"/>
      <c r="L309"/>
      <c r="M309"/>
      <c r="N309"/>
      <c r="O309"/>
    </row>
    <row r="310" spans="1:15" ht="15.6" thickTop="1" thickBot="1" x14ac:dyDescent="0.35">
      <c r="A310" s="51"/>
      <c r="B310" s="52"/>
      <c r="C310" s="51"/>
      <c r="D310" s="51"/>
      <c r="E310"/>
      <c r="F310"/>
      <c r="G310"/>
      <c r="H310"/>
      <c r="I310"/>
      <c r="J310"/>
      <c r="K310"/>
      <c r="L310"/>
      <c r="M310"/>
      <c r="N310"/>
      <c r="O310"/>
    </row>
    <row r="311" spans="1:15" ht="15.6" thickTop="1" thickBot="1" x14ac:dyDescent="0.35">
      <c r="A311" s="51"/>
      <c r="B311" s="52"/>
      <c r="C311" s="51"/>
      <c r="D311" s="51"/>
      <c r="E311"/>
      <c r="F311"/>
      <c r="G311"/>
      <c r="H311"/>
      <c r="I311"/>
      <c r="J311"/>
      <c r="K311"/>
      <c r="L311"/>
      <c r="M311"/>
      <c r="N311"/>
      <c r="O311"/>
    </row>
    <row r="312" spans="1:15" ht="15.6" thickTop="1" thickBot="1" x14ac:dyDescent="0.35">
      <c r="A312" s="51"/>
      <c r="B312" s="52"/>
      <c r="C312" s="51"/>
      <c r="D312" s="51"/>
      <c r="E312"/>
      <c r="F312"/>
      <c r="G312"/>
      <c r="H312"/>
      <c r="I312"/>
      <c r="J312"/>
      <c r="K312"/>
      <c r="L312"/>
      <c r="M312"/>
      <c r="N312"/>
      <c r="O312"/>
    </row>
    <row r="313" spans="1:15" ht="15.6" thickTop="1" thickBot="1" x14ac:dyDescent="0.35">
      <c r="A313" s="51"/>
      <c r="B313" s="52"/>
      <c r="C313" s="51"/>
      <c r="D313" s="51"/>
      <c r="E313"/>
      <c r="F313"/>
      <c r="G313"/>
      <c r="H313"/>
      <c r="I313"/>
      <c r="J313"/>
      <c r="K313"/>
      <c r="L313"/>
      <c r="M313"/>
      <c r="N313"/>
      <c r="O313"/>
    </row>
    <row r="314" spans="1:15" ht="15.6" thickTop="1" thickBot="1" x14ac:dyDescent="0.35">
      <c r="A314" s="51"/>
      <c r="B314" s="52"/>
      <c r="C314" s="51"/>
      <c r="D314" s="51"/>
      <c r="E314"/>
      <c r="F314"/>
      <c r="G314"/>
      <c r="H314"/>
      <c r="I314"/>
      <c r="J314"/>
      <c r="K314"/>
      <c r="L314"/>
      <c r="M314"/>
      <c r="N314"/>
      <c r="O314"/>
    </row>
    <row r="315" spans="1:15" ht="15.6" thickTop="1" thickBot="1" x14ac:dyDescent="0.35">
      <c r="A315" s="51"/>
      <c r="B315" s="52"/>
      <c r="C315" s="51"/>
      <c r="D315" s="51"/>
      <c r="E315"/>
      <c r="F315"/>
      <c r="G315"/>
      <c r="H315"/>
      <c r="I315"/>
      <c r="J315"/>
      <c r="K315"/>
      <c r="L315"/>
      <c r="M315"/>
      <c r="N315"/>
      <c r="O315"/>
    </row>
    <row r="316" spans="1:15" ht="15.6" thickTop="1" thickBot="1" x14ac:dyDescent="0.35">
      <c r="A316" s="51"/>
      <c r="B316" s="52"/>
      <c r="C316" s="51"/>
      <c r="D316" s="51"/>
      <c r="E316"/>
      <c r="F316"/>
      <c r="G316"/>
      <c r="H316"/>
      <c r="I316"/>
      <c r="J316"/>
      <c r="K316"/>
      <c r="L316"/>
      <c r="M316"/>
      <c r="N316"/>
      <c r="O316"/>
    </row>
    <row r="317" spans="1:15" ht="15.6" thickTop="1" thickBot="1" x14ac:dyDescent="0.35">
      <c r="A317" s="51"/>
      <c r="B317" s="52"/>
      <c r="C317" s="51"/>
      <c r="D317" s="51"/>
      <c r="E317"/>
      <c r="F317"/>
      <c r="G317"/>
      <c r="H317"/>
      <c r="I317"/>
      <c r="J317"/>
      <c r="K317"/>
      <c r="L317"/>
      <c r="M317"/>
      <c r="N317"/>
      <c r="O317"/>
    </row>
    <row r="318" spans="1:15" ht="15.6" thickTop="1" thickBot="1" x14ac:dyDescent="0.35">
      <c r="A318" s="51"/>
      <c r="B318" s="52"/>
      <c r="C318" s="51"/>
      <c r="D318" s="51"/>
      <c r="E318"/>
      <c r="F318"/>
      <c r="G318"/>
      <c r="H318"/>
      <c r="I318"/>
      <c r="J318"/>
      <c r="K318"/>
      <c r="L318"/>
      <c r="M318"/>
      <c r="N318"/>
      <c r="O318"/>
    </row>
    <row r="319" spans="1:15" ht="15.6" thickTop="1" thickBot="1" x14ac:dyDescent="0.35">
      <c r="A319" s="51"/>
      <c r="B319" s="52"/>
      <c r="C319" s="51"/>
      <c r="D319" s="51"/>
      <c r="E319"/>
      <c r="F319"/>
      <c r="G319"/>
      <c r="H319"/>
      <c r="I319"/>
      <c r="J319"/>
      <c r="K319"/>
      <c r="L319"/>
      <c r="M319"/>
      <c r="N319"/>
      <c r="O319"/>
    </row>
    <row r="320" spans="1:15" ht="15.6" thickTop="1" thickBot="1" x14ac:dyDescent="0.35">
      <c r="A320" s="51"/>
      <c r="B320" s="52"/>
      <c r="C320" s="51"/>
      <c r="D320" s="51"/>
      <c r="E320"/>
      <c r="F320"/>
      <c r="G320"/>
      <c r="H320"/>
      <c r="I320"/>
      <c r="J320"/>
      <c r="K320"/>
      <c r="L320"/>
      <c r="M320"/>
      <c r="N320"/>
      <c r="O320"/>
    </row>
    <row r="321" spans="1:15" ht="15.6" thickTop="1" thickBot="1" x14ac:dyDescent="0.35">
      <c r="A321" s="51"/>
      <c r="B321" s="52"/>
      <c r="C321" s="51"/>
      <c r="D321" s="51"/>
      <c r="E321"/>
      <c r="F321"/>
      <c r="G321"/>
      <c r="H321"/>
      <c r="I321"/>
      <c r="J321"/>
      <c r="K321"/>
      <c r="L321"/>
      <c r="M321"/>
      <c r="N321"/>
      <c r="O321"/>
    </row>
    <row r="322" spans="1:15" ht="15.6" thickTop="1" thickBot="1" x14ac:dyDescent="0.35">
      <c r="A322" s="51"/>
      <c r="B322" s="52"/>
      <c r="C322" s="51"/>
      <c r="D322" s="51"/>
      <c r="E322"/>
      <c r="F322"/>
      <c r="G322"/>
      <c r="H322"/>
      <c r="I322"/>
      <c r="J322"/>
      <c r="K322"/>
      <c r="L322"/>
      <c r="M322"/>
      <c r="N322"/>
      <c r="O322"/>
    </row>
    <row r="323" spans="1:15" ht="15.6" thickTop="1" thickBot="1" x14ac:dyDescent="0.35">
      <c r="A323" s="51"/>
      <c r="B323" s="52"/>
      <c r="C323" s="51"/>
      <c r="D323" s="51"/>
      <c r="E323"/>
      <c r="F323"/>
      <c r="G323"/>
      <c r="H323"/>
      <c r="I323"/>
      <c r="J323"/>
      <c r="K323"/>
      <c r="L323"/>
      <c r="M323"/>
      <c r="N323"/>
      <c r="O323"/>
    </row>
    <row r="324" spans="1:15" ht="15.6" thickTop="1" thickBot="1" x14ac:dyDescent="0.35">
      <c r="A324" s="51"/>
      <c r="B324" s="52"/>
      <c r="C324" s="51"/>
      <c r="D324" s="51"/>
      <c r="E324"/>
      <c r="F324"/>
      <c r="G324"/>
      <c r="H324"/>
      <c r="I324"/>
      <c r="J324"/>
      <c r="K324"/>
      <c r="L324"/>
      <c r="M324"/>
      <c r="N324"/>
      <c r="O324"/>
    </row>
    <row r="325" spans="1:15" ht="15.6" thickTop="1" thickBot="1" x14ac:dyDescent="0.35">
      <c r="A325" s="51"/>
      <c r="B325" s="52"/>
      <c r="C325" s="51"/>
      <c r="D325" s="51"/>
      <c r="E325"/>
      <c r="F325"/>
      <c r="G325"/>
      <c r="H325"/>
      <c r="I325"/>
      <c r="J325"/>
      <c r="K325"/>
      <c r="L325"/>
      <c r="M325"/>
      <c r="N325"/>
      <c r="O325"/>
    </row>
    <row r="326" spans="1:15" ht="15.6" thickTop="1" thickBot="1" x14ac:dyDescent="0.35">
      <c r="A326" s="51"/>
      <c r="B326" s="52"/>
      <c r="C326" s="51"/>
      <c r="D326" s="51"/>
      <c r="E326"/>
      <c r="F326"/>
      <c r="G326"/>
      <c r="H326"/>
      <c r="I326"/>
      <c r="J326"/>
      <c r="K326"/>
      <c r="L326"/>
      <c r="M326"/>
      <c r="N326"/>
      <c r="O326"/>
    </row>
    <row r="327" spans="1:15" ht="15.6" thickTop="1" thickBot="1" x14ac:dyDescent="0.35">
      <c r="A327" s="51"/>
      <c r="B327" s="52"/>
      <c r="C327" s="51"/>
      <c r="D327" s="51"/>
      <c r="E327"/>
      <c r="F327"/>
      <c r="G327"/>
      <c r="H327"/>
      <c r="I327"/>
      <c r="J327"/>
      <c r="K327"/>
      <c r="L327"/>
      <c r="M327"/>
      <c r="N327"/>
      <c r="O327"/>
    </row>
    <row r="328" spans="1:15" ht="15.6" thickTop="1" thickBot="1" x14ac:dyDescent="0.35">
      <c r="A328" s="51"/>
      <c r="B328" s="52"/>
      <c r="C328" s="51"/>
      <c r="D328" s="51"/>
      <c r="E328"/>
      <c r="F328"/>
      <c r="G328"/>
      <c r="H328"/>
      <c r="I328"/>
      <c r="J328"/>
      <c r="K328"/>
      <c r="L328"/>
      <c r="M328"/>
      <c r="N328"/>
      <c r="O328"/>
    </row>
    <row r="329" spans="1:15" ht="15.6" thickTop="1" thickBot="1" x14ac:dyDescent="0.35">
      <c r="A329" s="51"/>
      <c r="B329" s="52"/>
      <c r="C329" s="51"/>
      <c r="D329" s="51"/>
      <c r="E329"/>
      <c r="F329"/>
      <c r="G329"/>
      <c r="H329"/>
      <c r="I329"/>
      <c r="J329"/>
      <c r="K329"/>
      <c r="L329"/>
      <c r="M329"/>
      <c r="N329"/>
      <c r="O329"/>
    </row>
    <row r="330" spans="1:15" ht="15.6" thickTop="1" thickBot="1" x14ac:dyDescent="0.35">
      <c r="A330" s="51"/>
      <c r="B330" s="52"/>
      <c r="C330" s="51"/>
      <c r="D330" s="51"/>
      <c r="E330"/>
      <c r="F330"/>
      <c r="G330"/>
      <c r="H330"/>
      <c r="I330"/>
      <c r="J330"/>
      <c r="K330"/>
      <c r="L330"/>
      <c r="M330"/>
      <c r="N330"/>
      <c r="O330"/>
    </row>
    <row r="331" spans="1:15" ht="15.6" thickTop="1" thickBot="1" x14ac:dyDescent="0.35">
      <c r="A331" s="51"/>
      <c r="B331" s="52"/>
      <c r="C331" s="51"/>
      <c r="D331" s="51"/>
      <c r="E331"/>
      <c r="F331"/>
      <c r="G331"/>
      <c r="H331"/>
      <c r="I331"/>
      <c r="J331"/>
      <c r="K331"/>
      <c r="L331"/>
      <c r="M331"/>
      <c r="N331"/>
      <c r="O331"/>
    </row>
    <row r="332" spans="1:15" ht="15.6" thickTop="1" thickBot="1" x14ac:dyDescent="0.35">
      <c r="A332" s="51"/>
      <c r="B332" s="52"/>
      <c r="C332" s="51"/>
      <c r="D332" s="51"/>
      <c r="E332"/>
      <c r="F332"/>
      <c r="G332"/>
      <c r="H332"/>
      <c r="I332"/>
      <c r="J332"/>
      <c r="K332"/>
      <c r="L332"/>
      <c r="M332"/>
      <c r="N332"/>
      <c r="O332"/>
    </row>
    <row r="333" spans="1:15" ht="15.6" thickTop="1" thickBot="1" x14ac:dyDescent="0.35">
      <c r="A333" s="51"/>
      <c r="B333" s="52"/>
      <c r="C333" s="51"/>
      <c r="D333" s="51"/>
      <c r="E333"/>
      <c r="F333"/>
      <c r="G333"/>
      <c r="H333"/>
      <c r="I333"/>
      <c r="J333"/>
      <c r="K333"/>
      <c r="L333"/>
      <c r="M333"/>
      <c r="N333"/>
      <c r="O333"/>
    </row>
    <row r="334" spans="1:15" ht="15.6" thickTop="1" thickBot="1" x14ac:dyDescent="0.35">
      <c r="A334" s="51"/>
      <c r="B334" s="52"/>
      <c r="C334" s="51"/>
      <c r="D334" s="51"/>
      <c r="E334"/>
      <c r="F334"/>
      <c r="G334"/>
      <c r="H334"/>
      <c r="I334"/>
      <c r="J334"/>
      <c r="K334"/>
      <c r="L334"/>
      <c r="M334"/>
      <c r="N334"/>
      <c r="O334"/>
    </row>
    <row r="335" spans="1:15" ht="15.6" thickTop="1" thickBot="1" x14ac:dyDescent="0.35">
      <c r="A335" s="51"/>
      <c r="B335" s="52"/>
      <c r="C335" s="51"/>
      <c r="D335" s="51"/>
      <c r="E335"/>
      <c r="F335"/>
      <c r="G335"/>
      <c r="H335"/>
      <c r="I335"/>
      <c r="J335"/>
      <c r="K335"/>
      <c r="L335"/>
      <c r="M335"/>
      <c r="N335"/>
      <c r="O335"/>
    </row>
    <row r="336" spans="1:15" ht="15.6" thickTop="1" thickBot="1" x14ac:dyDescent="0.35">
      <c r="A336" s="51"/>
      <c r="B336" s="52"/>
      <c r="C336" s="51"/>
      <c r="D336" s="51"/>
      <c r="E336"/>
      <c r="F336"/>
      <c r="G336"/>
      <c r="H336"/>
      <c r="I336"/>
      <c r="J336"/>
      <c r="K336"/>
      <c r="L336"/>
      <c r="M336"/>
      <c r="N336"/>
      <c r="O336"/>
    </row>
    <row r="337" spans="1:15" ht="15.6" thickTop="1" thickBot="1" x14ac:dyDescent="0.35">
      <c r="A337" s="51"/>
      <c r="B337" s="52"/>
      <c r="C337" s="51"/>
      <c r="D337" s="51"/>
      <c r="E337"/>
      <c r="F337"/>
      <c r="G337"/>
      <c r="H337"/>
      <c r="I337"/>
      <c r="J337"/>
      <c r="K337"/>
      <c r="L337"/>
      <c r="M337"/>
      <c r="N337"/>
      <c r="O337"/>
    </row>
    <row r="338" spans="1:15" ht="15.6" thickTop="1" thickBot="1" x14ac:dyDescent="0.35">
      <c r="A338" s="51"/>
      <c r="B338" s="52"/>
      <c r="C338" s="51"/>
      <c r="D338" s="51"/>
      <c r="E338"/>
      <c r="F338"/>
      <c r="G338"/>
      <c r="H338"/>
      <c r="I338"/>
      <c r="J338"/>
      <c r="K338"/>
      <c r="L338"/>
      <c r="M338"/>
      <c r="N338"/>
      <c r="O338"/>
    </row>
    <row r="339" spans="1:15" ht="15.6" thickTop="1" thickBot="1" x14ac:dyDescent="0.35">
      <c r="A339" s="51"/>
      <c r="B339" s="52"/>
      <c r="C339" s="51"/>
      <c r="D339" s="51"/>
      <c r="E339"/>
      <c r="F339"/>
      <c r="G339"/>
      <c r="H339"/>
      <c r="I339"/>
      <c r="J339"/>
      <c r="K339"/>
      <c r="L339"/>
      <c r="M339"/>
      <c r="N339"/>
      <c r="O339"/>
    </row>
    <row r="340" spans="1:15" ht="15.6" thickTop="1" thickBot="1" x14ac:dyDescent="0.35">
      <c r="A340" s="51"/>
      <c r="B340" s="52"/>
      <c r="C340" s="51"/>
      <c r="D340" s="51"/>
      <c r="E340"/>
      <c r="F340"/>
      <c r="G340"/>
      <c r="H340"/>
      <c r="I340"/>
      <c r="J340"/>
      <c r="K340"/>
      <c r="L340"/>
      <c r="M340"/>
      <c r="N340"/>
      <c r="O340"/>
    </row>
    <row r="341" spans="1:15" ht="15.6" thickTop="1" thickBot="1" x14ac:dyDescent="0.35">
      <c r="A341" s="51"/>
      <c r="B341" s="52"/>
      <c r="C341" s="51"/>
      <c r="D341" s="51"/>
      <c r="E341"/>
      <c r="F341"/>
      <c r="G341"/>
      <c r="H341"/>
      <c r="I341"/>
      <c r="J341"/>
      <c r="K341"/>
      <c r="L341"/>
      <c r="M341"/>
      <c r="N341"/>
      <c r="O341"/>
    </row>
    <row r="342" spans="1:15" ht="15.6" thickTop="1" thickBot="1" x14ac:dyDescent="0.35">
      <c r="A342" s="51"/>
      <c r="B342" s="52"/>
      <c r="C342" s="51"/>
      <c r="D342" s="51"/>
      <c r="E342"/>
      <c r="F342"/>
      <c r="G342"/>
      <c r="H342"/>
      <c r="I342"/>
      <c r="J342"/>
      <c r="K342"/>
      <c r="L342"/>
      <c r="M342"/>
      <c r="N342"/>
      <c r="O342"/>
    </row>
    <row r="343" spans="1:15" ht="15.6" thickTop="1" thickBot="1" x14ac:dyDescent="0.35">
      <c r="A343" s="51"/>
      <c r="B343" s="52"/>
      <c r="C343" s="51"/>
      <c r="D343" s="51"/>
      <c r="E343"/>
      <c r="F343"/>
      <c r="G343"/>
      <c r="H343"/>
      <c r="I343"/>
      <c r="J343"/>
      <c r="K343"/>
      <c r="L343"/>
      <c r="M343"/>
      <c r="N343"/>
      <c r="O343"/>
    </row>
    <row r="344" spans="1:15" ht="15.6" thickTop="1" thickBot="1" x14ac:dyDescent="0.35">
      <c r="A344" s="51"/>
      <c r="B344" s="52"/>
      <c r="C344" s="51"/>
      <c r="D344" s="51"/>
      <c r="E344"/>
      <c r="F344"/>
      <c r="G344"/>
      <c r="H344"/>
      <c r="I344"/>
      <c r="J344"/>
      <c r="K344"/>
      <c r="L344"/>
      <c r="M344"/>
      <c r="N344"/>
      <c r="O344"/>
    </row>
    <row r="345" spans="1:15" ht="15.6" thickTop="1" thickBot="1" x14ac:dyDescent="0.35">
      <c r="A345" s="51"/>
      <c r="B345" s="52"/>
      <c r="C345" s="51"/>
      <c r="D345" s="51"/>
      <c r="E345"/>
      <c r="F345"/>
      <c r="G345"/>
      <c r="H345"/>
      <c r="I345"/>
      <c r="J345"/>
      <c r="K345"/>
      <c r="L345"/>
      <c r="M345"/>
      <c r="N345"/>
      <c r="O345"/>
    </row>
    <row r="346" spans="1:15" ht="15.6" thickTop="1" thickBot="1" x14ac:dyDescent="0.35">
      <c r="A346" s="51"/>
      <c r="B346" s="52"/>
      <c r="C346" s="51"/>
      <c r="D346" s="51"/>
      <c r="E346"/>
      <c r="F346"/>
      <c r="G346"/>
      <c r="H346"/>
      <c r="I346"/>
      <c r="J346"/>
      <c r="K346"/>
      <c r="L346"/>
      <c r="M346"/>
      <c r="N346"/>
      <c r="O346"/>
    </row>
    <row r="347" spans="1:15" ht="15.6" thickTop="1" thickBot="1" x14ac:dyDescent="0.35">
      <c r="A347" s="51"/>
      <c r="B347" s="52"/>
      <c r="C347" s="51"/>
      <c r="D347" s="51"/>
      <c r="E347"/>
      <c r="F347"/>
      <c r="G347"/>
      <c r="H347"/>
      <c r="I347"/>
      <c r="J347"/>
      <c r="K347"/>
      <c r="L347"/>
      <c r="M347"/>
      <c r="N347"/>
      <c r="O347"/>
    </row>
    <row r="348" spans="1:15" ht="15.6" thickTop="1" thickBot="1" x14ac:dyDescent="0.35">
      <c r="A348" s="51"/>
      <c r="B348" s="52"/>
      <c r="C348" s="51"/>
      <c r="D348" s="51"/>
      <c r="E348"/>
      <c r="F348"/>
      <c r="G348"/>
      <c r="H348"/>
      <c r="I348"/>
      <c r="J348"/>
      <c r="K348"/>
      <c r="L348"/>
      <c r="M348"/>
      <c r="N348"/>
      <c r="O348"/>
    </row>
    <row r="349" spans="1:15" ht="15.6" thickTop="1" thickBot="1" x14ac:dyDescent="0.35">
      <c r="A349" s="51"/>
      <c r="B349" s="52"/>
      <c r="C349" s="51"/>
      <c r="D349" s="51"/>
      <c r="E349"/>
      <c r="F349"/>
      <c r="G349"/>
      <c r="H349"/>
      <c r="I349"/>
      <c r="J349"/>
      <c r="K349"/>
      <c r="L349"/>
      <c r="M349"/>
      <c r="N349"/>
      <c r="O349"/>
    </row>
    <row r="350" spans="1:15" ht="15.6" thickTop="1" thickBot="1" x14ac:dyDescent="0.35">
      <c r="A350" s="51"/>
      <c r="B350" s="52"/>
      <c r="C350" s="51"/>
      <c r="D350" s="51"/>
      <c r="E350"/>
      <c r="F350"/>
      <c r="G350"/>
      <c r="H350"/>
      <c r="I350"/>
      <c r="J350"/>
      <c r="K350"/>
      <c r="L350"/>
      <c r="M350"/>
      <c r="N350"/>
      <c r="O350"/>
    </row>
    <row r="351" spans="1:15" ht="15.6" thickTop="1" thickBot="1" x14ac:dyDescent="0.35">
      <c r="A351" s="51"/>
      <c r="B351" s="52"/>
      <c r="C351" s="51"/>
      <c r="D351" s="51"/>
      <c r="E351"/>
      <c r="F351"/>
      <c r="G351"/>
      <c r="H351"/>
      <c r="I351"/>
      <c r="J351"/>
      <c r="K351"/>
      <c r="L351"/>
      <c r="M351"/>
      <c r="N351"/>
      <c r="O351"/>
    </row>
    <row r="352" spans="1:15" ht="15.6" thickTop="1" thickBot="1" x14ac:dyDescent="0.35">
      <c r="A352" s="51"/>
      <c r="B352" s="52"/>
      <c r="C352" s="51"/>
      <c r="D352" s="51"/>
      <c r="E352"/>
      <c r="F352"/>
      <c r="G352"/>
      <c r="H352"/>
      <c r="I352"/>
      <c r="J352"/>
      <c r="K352"/>
      <c r="L352"/>
      <c r="M352"/>
      <c r="N352"/>
      <c r="O352"/>
    </row>
    <row r="353" spans="1:15" ht="15.6" thickTop="1" thickBot="1" x14ac:dyDescent="0.35">
      <c r="A353" s="51"/>
      <c r="B353" s="52"/>
      <c r="C353" s="51"/>
      <c r="D353" s="51"/>
      <c r="E353"/>
      <c r="F353"/>
      <c r="G353"/>
      <c r="H353"/>
      <c r="I353"/>
      <c r="J353"/>
      <c r="K353"/>
      <c r="L353"/>
      <c r="M353"/>
      <c r="N353"/>
      <c r="O353"/>
    </row>
    <row r="354" spans="1:15" ht="15.6" thickTop="1" thickBot="1" x14ac:dyDescent="0.35">
      <c r="A354" s="51"/>
      <c r="B354" s="52"/>
      <c r="C354" s="51"/>
      <c r="D354" s="51"/>
      <c r="E354"/>
      <c r="F354"/>
      <c r="G354"/>
      <c r="H354"/>
      <c r="I354"/>
      <c r="J354"/>
      <c r="K354"/>
      <c r="L354"/>
      <c r="M354"/>
      <c r="N354"/>
      <c r="O354"/>
    </row>
    <row r="355" spans="1:15" ht="15.6" thickTop="1" thickBot="1" x14ac:dyDescent="0.35">
      <c r="A355" s="51"/>
      <c r="B355" s="52"/>
      <c r="C355" s="51"/>
      <c r="D355" s="51"/>
      <c r="E355"/>
      <c r="F355"/>
      <c r="G355"/>
      <c r="H355"/>
      <c r="I355"/>
      <c r="J355"/>
      <c r="K355"/>
      <c r="L355"/>
      <c r="M355"/>
      <c r="N355"/>
      <c r="O355"/>
    </row>
    <row r="356" spans="1:15" ht="15.6" thickTop="1" thickBot="1" x14ac:dyDescent="0.35">
      <c r="A356" s="51"/>
      <c r="B356" s="52"/>
      <c r="C356" s="51"/>
      <c r="D356" s="51"/>
      <c r="E356"/>
      <c r="F356"/>
      <c r="G356"/>
      <c r="H356"/>
      <c r="I356"/>
      <c r="J356"/>
      <c r="K356"/>
      <c r="L356"/>
      <c r="M356"/>
      <c r="N356"/>
      <c r="O356"/>
    </row>
    <row r="357" spans="1:15" ht="15.6" thickTop="1" thickBot="1" x14ac:dyDescent="0.35">
      <c r="A357" s="51"/>
      <c r="B357" s="52"/>
      <c r="C357" s="51"/>
      <c r="D357" s="51"/>
      <c r="E357"/>
      <c r="F357"/>
      <c r="G357"/>
      <c r="H357"/>
      <c r="I357"/>
      <c r="J357"/>
      <c r="K357"/>
      <c r="L357"/>
      <c r="M357"/>
      <c r="N357"/>
      <c r="O357"/>
    </row>
    <row r="358" spans="1:15" ht="15.6" thickTop="1" thickBot="1" x14ac:dyDescent="0.35">
      <c r="A358" s="51"/>
      <c r="B358" s="52"/>
      <c r="C358" s="51"/>
      <c r="D358" s="51"/>
      <c r="E358"/>
      <c r="F358"/>
      <c r="G358"/>
      <c r="H358"/>
      <c r="I358"/>
      <c r="J358"/>
      <c r="K358"/>
      <c r="L358"/>
      <c r="M358"/>
      <c r="N358"/>
      <c r="O358"/>
    </row>
    <row r="359" spans="1:15" ht="15.6" thickTop="1" thickBot="1" x14ac:dyDescent="0.35">
      <c r="A359" s="51"/>
      <c r="B359" s="52"/>
      <c r="C359" s="51"/>
      <c r="D359" s="51"/>
      <c r="E359"/>
      <c r="F359"/>
      <c r="G359"/>
      <c r="H359"/>
      <c r="I359"/>
      <c r="J359"/>
      <c r="K359"/>
      <c r="L359"/>
      <c r="M359"/>
      <c r="N359"/>
      <c r="O359"/>
    </row>
    <row r="360" spans="1:15" ht="15.6" thickTop="1" thickBot="1" x14ac:dyDescent="0.35">
      <c r="A360" s="51"/>
      <c r="B360" s="52"/>
      <c r="C360" s="51"/>
      <c r="D360" s="51"/>
      <c r="E360"/>
      <c r="F360"/>
      <c r="G360"/>
      <c r="H360"/>
      <c r="I360"/>
      <c r="J360"/>
      <c r="K360"/>
      <c r="L360"/>
      <c r="M360"/>
      <c r="N360"/>
      <c r="O360"/>
    </row>
    <row r="361" spans="1:15" ht="15.6" thickTop="1" thickBot="1" x14ac:dyDescent="0.35">
      <c r="A361" s="51"/>
      <c r="B361" s="52"/>
      <c r="C361" s="51"/>
      <c r="D361" s="51"/>
      <c r="E361"/>
      <c r="F361"/>
      <c r="G361"/>
      <c r="H361"/>
      <c r="I361"/>
      <c r="J361"/>
      <c r="K361"/>
      <c r="L361"/>
      <c r="M361"/>
      <c r="N361"/>
      <c r="O361"/>
    </row>
    <row r="362" spans="1:15" ht="15.6" thickTop="1" thickBot="1" x14ac:dyDescent="0.35">
      <c r="A362" s="51"/>
      <c r="B362" s="52"/>
      <c r="C362" s="51"/>
      <c r="D362" s="51"/>
      <c r="E362"/>
      <c r="F362"/>
      <c r="G362"/>
      <c r="H362"/>
      <c r="I362"/>
      <c r="J362"/>
      <c r="K362"/>
      <c r="L362"/>
      <c r="M362"/>
      <c r="N362"/>
      <c r="O362"/>
    </row>
    <row r="363" spans="1:15" ht="15.6" thickTop="1" thickBot="1" x14ac:dyDescent="0.35">
      <c r="A363" s="51"/>
      <c r="B363" s="52"/>
      <c r="C363" s="51"/>
      <c r="D363" s="51"/>
      <c r="E363"/>
      <c r="F363"/>
      <c r="G363"/>
      <c r="H363"/>
      <c r="I363"/>
      <c r="J363"/>
      <c r="K363"/>
      <c r="L363"/>
      <c r="M363"/>
      <c r="N363"/>
      <c r="O363"/>
    </row>
    <row r="364" spans="1:15" ht="15.6" thickTop="1" thickBot="1" x14ac:dyDescent="0.35">
      <c r="A364" s="51"/>
      <c r="B364" s="52"/>
      <c r="C364" s="51"/>
      <c r="D364" s="51"/>
      <c r="E364"/>
      <c r="F364"/>
      <c r="G364"/>
      <c r="H364"/>
      <c r="I364"/>
      <c r="J364"/>
      <c r="K364"/>
      <c r="L364"/>
      <c r="M364"/>
      <c r="N364"/>
      <c r="O364"/>
    </row>
    <row r="365" spans="1:15" ht="15.6" thickTop="1" thickBot="1" x14ac:dyDescent="0.35">
      <c r="A365" s="51"/>
      <c r="B365" s="52"/>
      <c r="C365" s="51"/>
      <c r="D365" s="51"/>
      <c r="E365"/>
      <c r="F365"/>
      <c r="G365"/>
      <c r="H365"/>
      <c r="I365"/>
      <c r="J365"/>
      <c r="K365"/>
      <c r="L365"/>
      <c r="M365"/>
      <c r="N365"/>
      <c r="O365"/>
    </row>
    <row r="366" spans="1:15" ht="15.6" thickTop="1" thickBot="1" x14ac:dyDescent="0.35">
      <c r="A366" s="51"/>
      <c r="B366" s="52"/>
      <c r="C366" s="51"/>
      <c r="D366" s="51"/>
      <c r="E366"/>
      <c r="F366"/>
      <c r="G366"/>
      <c r="H366"/>
      <c r="I366"/>
      <c r="J366"/>
      <c r="K366"/>
      <c r="L366"/>
      <c r="M366"/>
      <c r="N366"/>
      <c r="O366"/>
    </row>
    <row r="367" spans="1:15" ht="15.6" thickTop="1" thickBot="1" x14ac:dyDescent="0.35">
      <c r="A367" s="51"/>
      <c r="B367" s="52"/>
      <c r="C367" s="51"/>
      <c r="D367" s="51"/>
      <c r="E367"/>
      <c r="F367"/>
      <c r="G367"/>
      <c r="H367"/>
      <c r="I367"/>
      <c r="J367"/>
      <c r="K367"/>
      <c r="L367"/>
      <c r="M367"/>
      <c r="N367"/>
      <c r="O367"/>
    </row>
    <row r="368" spans="1:15" ht="15.6" thickTop="1" thickBot="1" x14ac:dyDescent="0.35">
      <c r="A368" s="51"/>
      <c r="B368" s="52"/>
      <c r="C368" s="51"/>
      <c r="D368" s="51"/>
      <c r="E368"/>
      <c r="F368"/>
      <c r="G368"/>
      <c r="H368"/>
      <c r="I368"/>
      <c r="J368"/>
      <c r="K368"/>
      <c r="L368"/>
      <c r="M368"/>
      <c r="N368"/>
      <c r="O368"/>
    </row>
    <row r="369" spans="1:15" ht="15.6" thickTop="1" thickBot="1" x14ac:dyDescent="0.35">
      <c r="A369" s="51"/>
      <c r="B369" s="52"/>
      <c r="C369" s="51"/>
      <c r="D369" s="51"/>
      <c r="E369"/>
      <c r="F369"/>
      <c r="G369"/>
      <c r="H369"/>
      <c r="I369"/>
      <c r="J369"/>
      <c r="K369"/>
      <c r="L369"/>
      <c r="M369"/>
      <c r="N369"/>
      <c r="O369"/>
    </row>
    <row r="370" spans="1:15" ht="15.6" thickTop="1" thickBot="1" x14ac:dyDescent="0.35">
      <c r="A370" s="51"/>
      <c r="B370" s="52"/>
      <c r="C370" s="51"/>
      <c r="D370" s="51"/>
      <c r="E370"/>
      <c r="F370"/>
      <c r="G370"/>
      <c r="H370"/>
      <c r="I370"/>
      <c r="J370"/>
      <c r="K370"/>
      <c r="L370"/>
      <c r="M370"/>
      <c r="N370"/>
      <c r="O370"/>
    </row>
    <row r="371" spans="1:15" ht="15.6" thickTop="1" thickBot="1" x14ac:dyDescent="0.35">
      <c r="A371" s="51"/>
      <c r="B371" s="52"/>
      <c r="C371" s="51"/>
      <c r="D371" s="51"/>
      <c r="E371"/>
      <c r="F371"/>
      <c r="G371"/>
      <c r="H371"/>
      <c r="I371"/>
      <c r="J371"/>
      <c r="K371"/>
      <c r="L371"/>
      <c r="M371"/>
      <c r="N371"/>
      <c r="O371"/>
    </row>
    <row r="372" spans="1:15" ht="15.6" thickTop="1" thickBot="1" x14ac:dyDescent="0.35">
      <c r="A372" s="51"/>
      <c r="B372" s="52"/>
      <c r="C372" s="51"/>
      <c r="D372" s="51"/>
      <c r="E372"/>
      <c r="F372"/>
      <c r="G372"/>
      <c r="H372"/>
      <c r="I372"/>
      <c r="J372"/>
      <c r="K372"/>
      <c r="L372"/>
      <c r="M372"/>
      <c r="N372"/>
      <c r="O372"/>
    </row>
    <row r="373" spans="1:15" ht="15.6" thickTop="1" thickBot="1" x14ac:dyDescent="0.35">
      <c r="A373" s="51"/>
      <c r="B373" s="52"/>
      <c r="C373" s="51"/>
      <c r="D373" s="51"/>
      <c r="E373"/>
      <c r="F373"/>
      <c r="G373"/>
      <c r="H373"/>
      <c r="I373"/>
      <c r="J373"/>
      <c r="K373"/>
      <c r="L373"/>
      <c r="M373"/>
      <c r="N373"/>
      <c r="O373"/>
    </row>
    <row r="374" spans="1:15" ht="15.6" thickTop="1" thickBot="1" x14ac:dyDescent="0.35">
      <c r="A374" s="51"/>
      <c r="B374" s="52"/>
      <c r="C374" s="51"/>
      <c r="D374" s="51"/>
      <c r="E374"/>
      <c r="F374"/>
      <c r="G374"/>
      <c r="H374"/>
      <c r="I374"/>
      <c r="J374"/>
      <c r="K374"/>
      <c r="L374"/>
      <c r="M374"/>
      <c r="N374"/>
      <c r="O374"/>
    </row>
    <row r="375" spans="1:15" ht="15.6" thickTop="1" thickBot="1" x14ac:dyDescent="0.35">
      <c r="A375" s="51"/>
      <c r="B375" s="52"/>
      <c r="C375" s="51"/>
      <c r="D375" s="51"/>
      <c r="E375"/>
      <c r="F375"/>
      <c r="G375"/>
      <c r="H375"/>
      <c r="I375"/>
      <c r="J375"/>
      <c r="K375"/>
      <c r="L375"/>
      <c r="M375"/>
      <c r="N375"/>
      <c r="O375"/>
    </row>
    <row r="376" spans="1:15" ht="15.6" thickTop="1" thickBot="1" x14ac:dyDescent="0.35">
      <c r="A376" s="51"/>
      <c r="B376" s="52"/>
      <c r="C376" s="51"/>
      <c r="D376" s="51"/>
      <c r="E376"/>
      <c r="F376"/>
      <c r="G376"/>
      <c r="H376"/>
      <c r="I376"/>
      <c r="J376"/>
      <c r="K376"/>
      <c r="L376"/>
      <c r="M376"/>
      <c r="N376"/>
      <c r="O376"/>
    </row>
    <row r="377" spans="1:15" ht="15.6" thickTop="1" thickBot="1" x14ac:dyDescent="0.35">
      <c r="A377" s="51"/>
      <c r="B377" s="52"/>
      <c r="C377" s="51"/>
      <c r="D377" s="51"/>
      <c r="E377"/>
      <c r="F377"/>
      <c r="G377"/>
      <c r="H377"/>
      <c r="I377"/>
      <c r="J377"/>
      <c r="K377"/>
      <c r="L377"/>
      <c r="M377"/>
      <c r="N377"/>
      <c r="O377"/>
    </row>
    <row r="378" spans="1:15" ht="15.6" thickTop="1" thickBot="1" x14ac:dyDescent="0.35">
      <c r="A378" s="51"/>
      <c r="B378" s="52"/>
      <c r="C378" s="51"/>
      <c r="D378" s="51"/>
      <c r="E378"/>
      <c r="F378"/>
      <c r="G378"/>
      <c r="H378"/>
      <c r="I378"/>
      <c r="J378"/>
      <c r="K378"/>
      <c r="L378"/>
      <c r="M378"/>
      <c r="N378"/>
      <c r="O378"/>
    </row>
    <row r="379" spans="1:15" ht="15.6" thickTop="1" thickBot="1" x14ac:dyDescent="0.35">
      <c r="A379" s="51"/>
      <c r="B379" s="52"/>
      <c r="C379" s="51"/>
      <c r="D379" s="51"/>
      <c r="E379"/>
      <c r="F379"/>
      <c r="G379"/>
      <c r="H379"/>
      <c r="I379"/>
      <c r="J379"/>
      <c r="K379"/>
      <c r="L379"/>
      <c r="M379"/>
      <c r="N379"/>
      <c r="O379"/>
    </row>
    <row r="380" spans="1:15" ht="15.6" thickTop="1" thickBot="1" x14ac:dyDescent="0.35">
      <c r="A380" s="51"/>
      <c r="B380" s="52"/>
      <c r="C380" s="51"/>
      <c r="D380" s="51"/>
      <c r="E380"/>
      <c r="F380"/>
      <c r="G380"/>
      <c r="H380"/>
      <c r="I380"/>
      <c r="J380"/>
      <c r="K380"/>
      <c r="L380"/>
      <c r="M380"/>
      <c r="N380"/>
      <c r="O380"/>
    </row>
    <row r="381" spans="1:15" ht="15.6" thickTop="1" thickBot="1" x14ac:dyDescent="0.35">
      <c r="A381" s="51"/>
      <c r="B381" s="52"/>
      <c r="C381" s="51"/>
      <c r="D381" s="51"/>
      <c r="E381"/>
      <c r="F381"/>
      <c r="G381"/>
      <c r="H381"/>
      <c r="I381"/>
      <c r="J381"/>
      <c r="K381"/>
      <c r="L381"/>
      <c r="M381"/>
      <c r="N381"/>
      <c r="O381"/>
    </row>
    <row r="382" spans="1:15" ht="15.6" thickTop="1" thickBot="1" x14ac:dyDescent="0.35">
      <c r="A382" s="51"/>
      <c r="B382" s="52"/>
      <c r="C382" s="51"/>
      <c r="D382" s="51"/>
      <c r="E382"/>
      <c r="F382"/>
      <c r="G382"/>
      <c r="H382"/>
      <c r="I382"/>
      <c r="J382"/>
      <c r="K382"/>
      <c r="L382"/>
      <c r="M382"/>
      <c r="N382"/>
      <c r="O382"/>
    </row>
    <row r="383" spans="1:15" ht="15.6" thickTop="1" thickBot="1" x14ac:dyDescent="0.35">
      <c r="A383" s="51"/>
      <c r="B383" s="52"/>
      <c r="C383" s="51"/>
      <c r="D383" s="51"/>
      <c r="E383"/>
      <c r="F383"/>
      <c r="G383"/>
      <c r="H383"/>
      <c r="I383"/>
      <c r="J383"/>
      <c r="K383"/>
      <c r="L383"/>
      <c r="M383"/>
      <c r="N383"/>
      <c r="O383"/>
    </row>
    <row r="384" spans="1:15" ht="15.6" thickTop="1" thickBot="1" x14ac:dyDescent="0.35">
      <c r="A384" s="51"/>
      <c r="B384" s="52"/>
      <c r="C384" s="51"/>
      <c r="D384" s="51"/>
      <c r="E384"/>
      <c r="F384"/>
      <c r="G384"/>
      <c r="H384"/>
      <c r="I384"/>
      <c r="J384"/>
      <c r="K384"/>
      <c r="L384"/>
      <c r="M384"/>
      <c r="N384"/>
      <c r="O384"/>
    </row>
    <row r="385" spans="1:15" ht="15.6" thickTop="1" thickBot="1" x14ac:dyDescent="0.35">
      <c r="A385" s="51"/>
      <c r="B385" s="52"/>
      <c r="C385" s="51"/>
      <c r="D385" s="51"/>
      <c r="E385"/>
      <c r="F385"/>
      <c r="G385"/>
      <c r="H385"/>
      <c r="I385"/>
      <c r="J385"/>
      <c r="K385"/>
      <c r="L385"/>
      <c r="M385"/>
      <c r="N385"/>
      <c r="O385"/>
    </row>
    <row r="386" spans="1:15" ht="15.6" thickTop="1" thickBot="1" x14ac:dyDescent="0.35">
      <c r="A386" s="51"/>
      <c r="B386" s="52"/>
      <c r="C386" s="51"/>
      <c r="D386" s="51"/>
      <c r="E386"/>
      <c r="F386"/>
      <c r="G386"/>
      <c r="H386"/>
      <c r="I386"/>
      <c r="J386"/>
      <c r="K386"/>
      <c r="L386"/>
      <c r="M386"/>
      <c r="N386"/>
      <c r="O386"/>
    </row>
    <row r="387" spans="1:15" ht="15.6" thickTop="1" thickBot="1" x14ac:dyDescent="0.35">
      <c r="A387" s="51"/>
      <c r="B387" s="52"/>
      <c r="C387" s="51"/>
      <c r="D387" s="51"/>
      <c r="E387"/>
      <c r="F387"/>
      <c r="G387"/>
      <c r="H387"/>
      <c r="I387"/>
      <c r="J387"/>
      <c r="K387"/>
      <c r="L387"/>
      <c r="M387"/>
      <c r="N387"/>
      <c r="O387"/>
    </row>
    <row r="388" spans="1:15" ht="15.6" thickTop="1" thickBot="1" x14ac:dyDescent="0.35">
      <c r="A388" s="51"/>
      <c r="B388" s="52"/>
      <c r="C388" s="51"/>
      <c r="D388" s="51"/>
      <c r="E388"/>
      <c r="F388"/>
      <c r="G388"/>
      <c r="H388"/>
      <c r="I388"/>
      <c r="J388"/>
      <c r="K388"/>
      <c r="L388"/>
      <c r="M388"/>
      <c r="N388"/>
      <c r="O388"/>
    </row>
    <row r="389" spans="1:15" ht="15.6" thickTop="1" thickBot="1" x14ac:dyDescent="0.35">
      <c r="A389" s="51"/>
      <c r="B389" s="52"/>
      <c r="C389" s="51"/>
      <c r="D389" s="51"/>
      <c r="E389"/>
      <c r="F389"/>
      <c r="G389"/>
      <c r="H389"/>
      <c r="I389"/>
      <c r="J389"/>
      <c r="K389"/>
      <c r="L389"/>
      <c r="M389"/>
      <c r="N389"/>
      <c r="O389"/>
    </row>
    <row r="390" spans="1:15" ht="15.6" thickTop="1" thickBot="1" x14ac:dyDescent="0.35">
      <c r="A390" s="51"/>
      <c r="B390" s="52"/>
      <c r="C390" s="51"/>
      <c r="D390" s="51"/>
      <c r="E390"/>
      <c r="F390"/>
      <c r="G390"/>
      <c r="H390"/>
      <c r="I390"/>
      <c r="J390"/>
      <c r="K390"/>
      <c r="L390"/>
      <c r="M390"/>
      <c r="N390"/>
      <c r="O390"/>
    </row>
    <row r="391" spans="1:15" ht="15.6" thickTop="1" thickBot="1" x14ac:dyDescent="0.35">
      <c r="A391" s="51"/>
      <c r="B391" s="52"/>
      <c r="C391" s="51"/>
      <c r="D391" s="51"/>
      <c r="E391"/>
      <c r="F391"/>
      <c r="G391"/>
      <c r="H391"/>
      <c r="I391"/>
      <c r="J391"/>
      <c r="K391"/>
      <c r="L391"/>
      <c r="M391"/>
      <c r="N391"/>
      <c r="O391"/>
    </row>
    <row r="392" spans="1:15" ht="15.6" thickTop="1" thickBot="1" x14ac:dyDescent="0.35">
      <c r="A392" s="51"/>
      <c r="B392" s="52"/>
      <c r="C392" s="51"/>
      <c r="D392" s="51"/>
      <c r="E392"/>
      <c r="F392"/>
      <c r="G392"/>
      <c r="H392"/>
      <c r="I392"/>
      <c r="J392"/>
      <c r="K392"/>
      <c r="L392"/>
      <c r="M392"/>
      <c r="N392"/>
      <c r="O392"/>
    </row>
    <row r="393" spans="1:15" ht="15.6" thickTop="1" thickBot="1" x14ac:dyDescent="0.35">
      <c r="A393" s="51"/>
      <c r="B393" s="52"/>
      <c r="C393" s="51"/>
      <c r="D393" s="51"/>
      <c r="E393"/>
      <c r="F393"/>
      <c r="G393"/>
      <c r="H393"/>
      <c r="I393"/>
      <c r="J393"/>
      <c r="K393"/>
      <c r="L393"/>
      <c r="M393"/>
      <c r="N393"/>
      <c r="O393"/>
    </row>
    <row r="394" spans="1:15" ht="15.6" thickTop="1" thickBot="1" x14ac:dyDescent="0.35">
      <c r="A394" s="51"/>
      <c r="B394" s="52"/>
      <c r="C394" s="51"/>
      <c r="D394" s="51"/>
      <c r="E394"/>
      <c r="F394"/>
      <c r="G394"/>
      <c r="H394"/>
      <c r="I394"/>
      <c r="J394"/>
      <c r="K394"/>
      <c r="L394"/>
      <c r="M394"/>
      <c r="N394"/>
      <c r="O394"/>
    </row>
    <row r="395" spans="1:15" ht="15.6" thickTop="1" thickBot="1" x14ac:dyDescent="0.35">
      <c r="A395" s="51"/>
      <c r="B395" s="52"/>
      <c r="C395" s="51"/>
      <c r="D395" s="51"/>
      <c r="E395"/>
      <c r="F395"/>
      <c r="G395"/>
      <c r="H395"/>
      <c r="I395"/>
      <c r="J395"/>
      <c r="K395"/>
      <c r="L395"/>
      <c r="M395"/>
      <c r="N395"/>
      <c r="O395"/>
    </row>
    <row r="396" spans="1:15" ht="15.6" thickTop="1" thickBot="1" x14ac:dyDescent="0.35">
      <c r="A396" s="51"/>
      <c r="B396" s="52"/>
      <c r="C396" s="51"/>
      <c r="D396" s="51"/>
      <c r="E396"/>
      <c r="F396"/>
      <c r="G396"/>
      <c r="H396"/>
      <c r="I396"/>
      <c r="J396"/>
      <c r="K396"/>
      <c r="L396"/>
      <c r="M396"/>
      <c r="N396"/>
      <c r="O396"/>
    </row>
    <row r="397" spans="1:15" ht="15.6" thickTop="1" thickBot="1" x14ac:dyDescent="0.35">
      <c r="A397" s="51"/>
      <c r="B397" s="52"/>
      <c r="C397" s="51"/>
      <c r="D397" s="51"/>
      <c r="E397"/>
      <c r="F397"/>
      <c r="G397"/>
      <c r="H397"/>
      <c r="I397"/>
      <c r="J397"/>
      <c r="K397"/>
      <c r="L397"/>
      <c r="M397"/>
      <c r="N397"/>
      <c r="O397"/>
    </row>
    <row r="398" spans="1:15" ht="15.6" thickTop="1" thickBot="1" x14ac:dyDescent="0.35">
      <c r="A398" s="51"/>
      <c r="B398" s="52"/>
      <c r="C398" s="51"/>
      <c r="D398" s="51"/>
      <c r="E398"/>
      <c r="F398"/>
      <c r="G398"/>
      <c r="H398"/>
      <c r="I398"/>
      <c r="J398"/>
      <c r="K398"/>
      <c r="L398"/>
      <c r="M398"/>
      <c r="N398"/>
      <c r="O398"/>
    </row>
    <row r="399" spans="1:15" ht="15.6" thickTop="1" thickBot="1" x14ac:dyDescent="0.35">
      <c r="A399" s="51"/>
      <c r="B399" s="52"/>
      <c r="C399" s="51"/>
      <c r="D399" s="51"/>
      <c r="E399"/>
      <c r="F399"/>
      <c r="G399"/>
      <c r="H399"/>
      <c r="I399"/>
      <c r="J399"/>
      <c r="K399"/>
      <c r="L399"/>
      <c r="M399"/>
      <c r="N399"/>
      <c r="O399"/>
    </row>
    <row r="400" spans="1:15" ht="15.6" thickTop="1" thickBot="1" x14ac:dyDescent="0.35">
      <c r="A400" s="51"/>
      <c r="B400" s="52"/>
      <c r="C400" s="51"/>
      <c r="D400" s="51"/>
      <c r="E400"/>
      <c r="F400"/>
      <c r="G400"/>
      <c r="H400"/>
      <c r="I400"/>
      <c r="J400"/>
      <c r="K400"/>
      <c r="L400"/>
      <c r="M400"/>
      <c r="N400"/>
      <c r="O400"/>
    </row>
    <row r="401" spans="1:15" ht="15.6" thickTop="1" thickBot="1" x14ac:dyDescent="0.35">
      <c r="A401" s="51"/>
      <c r="B401" s="52"/>
      <c r="C401" s="51"/>
      <c r="D401" s="51"/>
      <c r="E401"/>
      <c r="F401"/>
      <c r="G401"/>
      <c r="H401"/>
      <c r="I401"/>
      <c r="J401"/>
      <c r="K401"/>
      <c r="L401"/>
      <c r="M401"/>
      <c r="N401"/>
      <c r="O401"/>
    </row>
    <row r="402" spans="1:15" ht="15.6" thickTop="1" thickBot="1" x14ac:dyDescent="0.35">
      <c r="A402" s="51"/>
      <c r="B402" s="52"/>
      <c r="C402" s="51"/>
      <c r="D402" s="51"/>
      <c r="E402"/>
      <c r="F402"/>
      <c r="G402"/>
      <c r="H402"/>
      <c r="I402"/>
      <c r="J402"/>
      <c r="K402"/>
      <c r="L402"/>
      <c r="M402"/>
      <c r="N402"/>
      <c r="O402"/>
    </row>
    <row r="403" spans="1:15" ht="15.6" thickTop="1" thickBot="1" x14ac:dyDescent="0.35">
      <c r="A403" s="51"/>
      <c r="B403" s="52"/>
      <c r="C403" s="51"/>
      <c r="D403" s="51"/>
      <c r="E403"/>
      <c r="F403"/>
      <c r="G403"/>
      <c r="H403"/>
      <c r="I403"/>
      <c r="J403"/>
      <c r="K403"/>
      <c r="L403"/>
      <c r="M403"/>
      <c r="N403"/>
      <c r="O403"/>
    </row>
    <row r="404" spans="1:15" ht="15.6" thickTop="1" thickBot="1" x14ac:dyDescent="0.35">
      <c r="A404" s="51"/>
      <c r="B404" s="52"/>
      <c r="C404" s="51"/>
      <c r="D404" s="51"/>
      <c r="E404"/>
      <c r="F404"/>
      <c r="G404"/>
      <c r="H404"/>
      <c r="I404"/>
      <c r="J404"/>
      <c r="K404"/>
      <c r="L404"/>
      <c r="M404"/>
      <c r="N404"/>
      <c r="O404"/>
    </row>
    <row r="405" spans="1:15" ht="15.6" thickTop="1" thickBot="1" x14ac:dyDescent="0.35">
      <c r="A405" s="51"/>
      <c r="B405" s="52"/>
      <c r="C405" s="51"/>
      <c r="D405" s="51"/>
      <c r="E405"/>
      <c r="F405"/>
      <c r="G405"/>
      <c r="H405"/>
      <c r="I405"/>
      <c r="J405"/>
      <c r="K405"/>
      <c r="L405"/>
      <c r="M405"/>
      <c r="N405"/>
      <c r="O405"/>
    </row>
    <row r="406" spans="1:15" ht="15.6" thickTop="1" thickBot="1" x14ac:dyDescent="0.35">
      <c r="A406" s="51"/>
      <c r="B406" s="52"/>
      <c r="C406" s="51"/>
      <c r="D406" s="51"/>
      <c r="E406"/>
      <c r="F406"/>
      <c r="G406"/>
      <c r="H406"/>
      <c r="I406"/>
      <c r="J406"/>
      <c r="K406"/>
      <c r="L406"/>
      <c r="M406"/>
      <c r="N406"/>
      <c r="O406"/>
    </row>
    <row r="407" spans="1:15" ht="15.6" thickTop="1" thickBot="1" x14ac:dyDescent="0.35">
      <c r="A407" s="51"/>
      <c r="B407" s="52"/>
      <c r="C407" s="51"/>
      <c r="D407" s="51"/>
      <c r="E407"/>
      <c r="F407"/>
      <c r="G407"/>
      <c r="H407"/>
      <c r="I407"/>
      <c r="J407"/>
      <c r="K407"/>
      <c r="L407"/>
      <c r="M407"/>
      <c r="N407"/>
      <c r="O407"/>
    </row>
    <row r="408" spans="1:15" ht="15.6" thickTop="1" thickBot="1" x14ac:dyDescent="0.35">
      <c r="A408" s="51"/>
      <c r="B408" s="52"/>
      <c r="C408" s="51"/>
      <c r="D408" s="51"/>
      <c r="E408"/>
      <c r="F408"/>
      <c r="G408"/>
      <c r="H408"/>
      <c r="I408"/>
      <c r="J408"/>
      <c r="K408"/>
      <c r="L408"/>
      <c r="M408"/>
      <c r="N408"/>
      <c r="O408"/>
    </row>
    <row r="409" spans="1:15" ht="15.6" thickTop="1" thickBot="1" x14ac:dyDescent="0.35">
      <c r="A409" s="51"/>
      <c r="B409" s="52"/>
      <c r="C409" s="51"/>
      <c r="D409" s="51"/>
      <c r="E409"/>
      <c r="F409"/>
      <c r="G409"/>
      <c r="H409"/>
      <c r="I409"/>
      <c r="J409"/>
      <c r="K409"/>
      <c r="L409"/>
      <c r="M409"/>
      <c r="N409"/>
      <c r="O409"/>
    </row>
    <row r="410" spans="1:15" ht="15.6" thickTop="1" thickBot="1" x14ac:dyDescent="0.35">
      <c r="A410" s="51"/>
      <c r="B410" s="52"/>
      <c r="C410" s="51"/>
      <c r="D410" s="51"/>
      <c r="E410"/>
      <c r="F410"/>
      <c r="G410"/>
      <c r="H410"/>
      <c r="I410"/>
      <c r="J410"/>
      <c r="K410"/>
      <c r="L410"/>
      <c r="M410"/>
      <c r="N410"/>
      <c r="O410"/>
    </row>
    <row r="411" spans="1:15" ht="15.6" thickTop="1" thickBot="1" x14ac:dyDescent="0.35">
      <c r="A411" s="51"/>
      <c r="B411" s="52"/>
      <c r="C411" s="51"/>
      <c r="D411" s="51"/>
      <c r="E411"/>
      <c r="F411"/>
      <c r="G411"/>
      <c r="H411"/>
      <c r="I411"/>
      <c r="J411"/>
      <c r="K411"/>
      <c r="L411"/>
      <c r="M411"/>
      <c r="N411"/>
      <c r="O411"/>
    </row>
    <row r="412" spans="1:15" ht="15.6" thickTop="1" thickBot="1" x14ac:dyDescent="0.35">
      <c r="A412" s="51"/>
      <c r="B412" s="52"/>
      <c r="C412" s="51"/>
      <c r="D412" s="51"/>
      <c r="E412"/>
      <c r="F412"/>
      <c r="G412"/>
      <c r="H412"/>
      <c r="I412"/>
      <c r="J412"/>
      <c r="K412"/>
      <c r="L412"/>
      <c r="M412"/>
      <c r="N412"/>
      <c r="O412"/>
    </row>
    <row r="413" spans="1:15" ht="15.6" thickTop="1" thickBot="1" x14ac:dyDescent="0.35">
      <c r="A413" s="51"/>
      <c r="B413" s="52"/>
      <c r="C413" s="51"/>
      <c r="D413" s="51"/>
      <c r="E413"/>
      <c r="F413"/>
      <c r="G413"/>
      <c r="H413"/>
      <c r="I413"/>
      <c r="J413"/>
      <c r="K413"/>
      <c r="L413"/>
      <c r="M413"/>
      <c r="N413"/>
      <c r="O413"/>
    </row>
    <row r="414" spans="1:15" ht="15.6" thickTop="1" thickBot="1" x14ac:dyDescent="0.35">
      <c r="A414" s="51"/>
      <c r="B414" s="52"/>
      <c r="C414" s="51"/>
      <c r="D414" s="51"/>
      <c r="E414"/>
      <c r="F414"/>
      <c r="G414"/>
      <c r="H414"/>
      <c r="I414"/>
      <c r="J414"/>
      <c r="K414"/>
      <c r="L414"/>
      <c r="M414"/>
      <c r="N414"/>
      <c r="O414"/>
    </row>
    <row r="415" spans="1:15" ht="15.6" thickTop="1" thickBot="1" x14ac:dyDescent="0.35">
      <c r="A415" s="51"/>
      <c r="B415" s="52"/>
      <c r="C415" s="51"/>
      <c r="D415" s="51"/>
      <c r="E415"/>
      <c r="F415"/>
      <c r="G415"/>
      <c r="H415"/>
      <c r="I415"/>
      <c r="J415"/>
      <c r="K415"/>
      <c r="L415"/>
      <c r="M415"/>
      <c r="N415"/>
      <c r="O415"/>
    </row>
    <row r="416" spans="1:15" ht="15.6" thickTop="1" thickBot="1" x14ac:dyDescent="0.35">
      <c r="A416" s="51"/>
      <c r="B416" s="52"/>
      <c r="C416" s="51"/>
      <c r="D416" s="51"/>
      <c r="E416"/>
      <c r="F416"/>
      <c r="G416"/>
      <c r="H416"/>
      <c r="I416"/>
      <c r="J416"/>
      <c r="K416"/>
      <c r="L416"/>
      <c r="M416"/>
      <c r="N416"/>
      <c r="O416"/>
    </row>
    <row r="417" spans="1:15" ht="15.6" thickTop="1" thickBot="1" x14ac:dyDescent="0.35">
      <c r="A417" s="51"/>
      <c r="B417" s="52"/>
      <c r="C417" s="51"/>
      <c r="D417" s="51"/>
      <c r="E417"/>
      <c r="F417"/>
      <c r="G417"/>
      <c r="H417"/>
      <c r="I417"/>
      <c r="J417"/>
      <c r="K417"/>
      <c r="L417"/>
      <c r="M417"/>
      <c r="N417"/>
      <c r="O417"/>
    </row>
    <row r="418" spans="1:15" ht="15.6" thickTop="1" thickBot="1" x14ac:dyDescent="0.35">
      <c r="A418" s="51"/>
      <c r="B418" s="52"/>
      <c r="C418" s="51"/>
      <c r="D418" s="51"/>
      <c r="E418"/>
      <c r="F418"/>
      <c r="G418"/>
      <c r="H418"/>
      <c r="I418"/>
      <c r="J418"/>
      <c r="K418"/>
      <c r="L418"/>
      <c r="M418"/>
      <c r="N418"/>
      <c r="O418"/>
    </row>
    <row r="419" spans="1:15" ht="15.6" thickTop="1" thickBot="1" x14ac:dyDescent="0.35">
      <c r="A419" s="51"/>
      <c r="B419" s="52"/>
      <c r="C419" s="51"/>
      <c r="D419" s="51"/>
      <c r="E419"/>
      <c r="F419"/>
      <c r="G419"/>
      <c r="H419"/>
      <c r="I419"/>
      <c r="J419"/>
      <c r="K419"/>
      <c r="L419"/>
      <c r="M419"/>
      <c r="N419"/>
      <c r="O419"/>
    </row>
    <row r="420" spans="1:15" ht="15.6" thickTop="1" thickBot="1" x14ac:dyDescent="0.35">
      <c r="A420" s="51"/>
      <c r="B420" s="52"/>
      <c r="C420" s="51"/>
      <c r="D420" s="51"/>
      <c r="E420"/>
      <c r="F420"/>
      <c r="G420"/>
      <c r="H420"/>
      <c r="I420"/>
      <c r="J420"/>
      <c r="K420"/>
      <c r="L420"/>
      <c r="M420"/>
      <c r="N420"/>
      <c r="O420"/>
    </row>
    <row r="421" spans="1:15" ht="15.6" thickTop="1" thickBot="1" x14ac:dyDescent="0.35">
      <c r="A421" s="51"/>
      <c r="B421" s="52"/>
      <c r="C421" s="51"/>
      <c r="D421" s="51"/>
      <c r="E421"/>
      <c r="F421"/>
      <c r="G421"/>
      <c r="H421"/>
      <c r="I421"/>
      <c r="J421"/>
      <c r="K421"/>
      <c r="L421"/>
      <c r="M421"/>
      <c r="N421"/>
      <c r="O421"/>
    </row>
    <row r="422" spans="1:15" ht="15.6" thickTop="1" thickBot="1" x14ac:dyDescent="0.35">
      <c r="A422" s="51"/>
      <c r="B422" s="52"/>
      <c r="C422" s="51"/>
      <c r="D422" s="51"/>
      <c r="E422"/>
      <c r="F422"/>
      <c r="G422"/>
      <c r="H422"/>
      <c r="I422"/>
      <c r="J422"/>
      <c r="K422"/>
      <c r="L422"/>
      <c r="M422"/>
      <c r="N422"/>
      <c r="O422"/>
    </row>
    <row r="423" spans="1:15" ht="15.6" thickTop="1" thickBot="1" x14ac:dyDescent="0.35">
      <c r="A423" s="51"/>
      <c r="B423" s="52"/>
      <c r="C423" s="51"/>
      <c r="D423" s="51"/>
      <c r="E423"/>
      <c r="F423"/>
      <c r="G423"/>
      <c r="H423"/>
      <c r="I423"/>
      <c r="J423"/>
      <c r="K423"/>
      <c r="L423"/>
      <c r="M423"/>
      <c r="N423"/>
      <c r="O423"/>
    </row>
    <row r="424" spans="1:15" ht="15.6" thickTop="1" thickBot="1" x14ac:dyDescent="0.35">
      <c r="A424" s="51"/>
      <c r="B424" s="52"/>
      <c r="C424" s="51"/>
      <c r="D424" s="51"/>
      <c r="E424"/>
      <c r="F424"/>
      <c r="G424"/>
      <c r="H424"/>
      <c r="I424"/>
      <c r="J424"/>
      <c r="K424"/>
      <c r="L424"/>
      <c r="M424"/>
      <c r="N424"/>
      <c r="O424"/>
    </row>
    <row r="425" spans="1:15" ht="15.6" thickTop="1" thickBot="1" x14ac:dyDescent="0.35">
      <c r="A425" s="51"/>
      <c r="B425" s="52"/>
      <c r="C425" s="51"/>
      <c r="D425" s="51"/>
      <c r="E425"/>
      <c r="F425"/>
      <c r="G425"/>
      <c r="H425"/>
      <c r="I425"/>
      <c r="J425"/>
      <c r="K425"/>
      <c r="L425"/>
      <c r="M425"/>
      <c r="N425"/>
      <c r="O425"/>
    </row>
    <row r="426" spans="1:15" ht="15.6" thickTop="1" thickBot="1" x14ac:dyDescent="0.35">
      <c r="A426" s="51"/>
      <c r="B426" s="52"/>
      <c r="C426" s="51"/>
      <c r="D426" s="51"/>
      <c r="E426"/>
      <c r="F426"/>
      <c r="G426"/>
      <c r="H426"/>
      <c r="I426"/>
      <c r="J426"/>
      <c r="K426"/>
      <c r="L426"/>
      <c r="M426"/>
      <c r="N426"/>
      <c r="O426"/>
    </row>
    <row r="427" spans="1:15" ht="15.6" thickTop="1" thickBot="1" x14ac:dyDescent="0.35">
      <c r="A427" s="51"/>
      <c r="B427" s="52"/>
      <c r="C427" s="51"/>
      <c r="D427" s="51"/>
      <c r="E427"/>
      <c r="F427"/>
      <c r="G427"/>
      <c r="H427"/>
      <c r="I427"/>
      <c r="J427"/>
      <c r="K427"/>
      <c r="L427"/>
      <c r="M427"/>
      <c r="N427"/>
      <c r="O427"/>
    </row>
    <row r="428" spans="1:15" ht="15.6" thickTop="1" thickBot="1" x14ac:dyDescent="0.35">
      <c r="A428" s="51"/>
      <c r="B428" s="52"/>
      <c r="C428" s="51"/>
      <c r="D428" s="51"/>
      <c r="E428"/>
      <c r="F428"/>
      <c r="G428"/>
      <c r="H428"/>
      <c r="I428"/>
      <c r="J428"/>
      <c r="K428"/>
      <c r="L428"/>
      <c r="M428"/>
      <c r="N428"/>
      <c r="O428"/>
    </row>
    <row r="429" spans="1:15" ht="15.6" thickTop="1" thickBot="1" x14ac:dyDescent="0.35">
      <c r="A429" s="51"/>
      <c r="B429" s="52"/>
      <c r="C429" s="51"/>
      <c r="D429" s="51"/>
      <c r="E429"/>
      <c r="F429"/>
      <c r="G429"/>
      <c r="H429"/>
      <c r="I429"/>
      <c r="J429"/>
      <c r="K429"/>
      <c r="L429"/>
      <c r="M429"/>
      <c r="N429"/>
      <c r="O429"/>
    </row>
    <row r="430" spans="1:15" ht="15.6" thickTop="1" thickBot="1" x14ac:dyDescent="0.35">
      <c r="A430" s="51"/>
      <c r="B430" s="52"/>
      <c r="C430" s="51"/>
      <c r="D430" s="51"/>
      <c r="E430"/>
      <c r="F430"/>
      <c r="G430"/>
      <c r="H430"/>
      <c r="I430"/>
      <c r="J430"/>
      <c r="K430"/>
      <c r="L430"/>
      <c r="M430"/>
      <c r="N430"/>
      <c r="O430"/>
    </row>
    <row r="431" spans="1:15" ht="15.6" thickTop="1" thickBot="1" x14ac:dyDescent="0.35">
      <c r="A431" s="51"/>
      <c r="B431" s="52"/>
      <c r="C431" s="51"/>
      <c r="D431" s="51"/>
      <c r="E431"/>
      <c r="F431"/>
      <c r="G431"/>
      <c r="H431"/>
      <c r="I431"/>
      <c r="J431"/>
      <c r="K431"/>
      <c r="L431"/>
      <c r="M431"/>
      <c r="N431"/>
      <c r="O431"/>
    </row>
    <row r="432" spans="1:15" ht="15.6" thickTop="1" thickBot="1" x14ac:dyDescent="0.35">
      <c r="A432" s="51"/>
      <c r="B432" s="52"/>
      <c r="C432" s="51"/>
      <c r="D432" s="51"/>
      <c r="E432"/>
      <c r="F432"/>
      <c r="G432"/>
      <c r="H432"/>
      <c r="I432"/>
      <c r="J432"/>
      <c r="K432"/>
      <c r="L432"/>
      <c r="M432"/>
      <c r="N432"/>
      <c r="O432"/>
    </row>
    <row r="433" spans="1:15" ht="15.6" thickTop="1" thickBot="1" x14ac:dyDescent="0.35">
      <c r="A433" s="51"/>
      <c r="B433" s="52"/>
      <c r="C433" s="51"/>
      <c r="D433" s="51"/>
      <c r="E433"/>
      <c r="F433"/>
      <c r="G433"/>
      <c r="H433"/>
      <c r="I433"/>
      <c r="J433"/>
      <c r="K433"/>
      <c r="L433"/>
      <c r="M433"/>
      <c r="N433"/>
      <c r="O433"/>
    </row>
    <row r="434" spans="1:15" ht="15.6" thickTop="1" thickBot="1" x14ac:dyDescent="0.35">
      <c r="A434" s="51"/>
      <c r="B434" s="52"/>
      <c r="C434" s="51"/>
      <c r="D434" s="51"/>
      <c r="E434"/>
      <c r="F434"/>
      <c r="G434"/>
      <c r="H434"/>
      <c r="I434"/>
      <c r="J434"/>
      <c r="K434"/>
      <c r="L434"/>
      <c r="M434"/>
      <c r="N434"/>
      <c r="O434"/>
    </row>
    <row r="435" spans="1:15" ht="15.6" thickTop="1" thickBot="1" x14ac:dyDescent="0.35">
      <c r="A435" s="51"/>
      <c r="B435" s="52"/>
      <c r="C435" s="51"/>
      <c r="D435" s="51"/>
      <c r="E435"/>
      <c r="F435"/>
      <c r="G435"/>
      <c r="H435"/>
      <c r="I435"/>
      <c r="J435"/>
      <c r="K435"/>
      <c r="L435"/>
      <c r="M435"/>
      <c r="N435"/>
      <c r="O435"/>
    </row>
    <row r="436" spans="1:15" ht="15.6" thickTop="1" thickBot="1" x14ac:dyDescent="0.35">
      <c r="A436" s="51"/>
      <c r="B436" s="52"/>
      <c r="C436" s="51"/>
      <c r="D436" s="51"/>
      <c r="E436"/>
      <c r="F436"/>
      <c r="G436"/>
      <c r="H436"/>
      <c r="I436"/>
      <c r="J436"/>
      <c r="K436"/>
      <c r="L436"/>
      <c r="M436"/>
      <c r="N436"/>
      <c r="O436"/>
    </row>
    <row r="437" spans="1:15" ht="15.6" thickTop="1" thickBot="1" x14ac:dyDescent="0.35">
      <c r="A437" s="51"/>
      <c r="B437" s="52"/>
      <c r="C437" s="51"/>
      <c r="D437" s="51"/>
      <c r="E437"/>
      <c r="F437"/>
      <c r="G437"/>
      <c r="H437"/>
      <c r="I437"/>
      <c r="J437"/>
      <c r="K437"/>
      <c r="L437"/>
      <c r="M437"/>
      <c r="N437"/>
      <c r="O437"/>
    </row>
    <row r="438" spans="1:15" ht="15.6" thickTop="1" thickBot="1" x14ac:dyDescent="0.35">
      <c r="A438" s="51"/>
      <c r="B438" s="52"/>
      <c r="C438" s="51"/>
      <c r="D438" s="51"/>
      <c r="E438"/>
      <c r="F438"/>
      <c r="G438"/>
      <c r="H438"/>
      <c r="I438"/>
      <c r="J438"/>
      <c r="K438"/>
      <c r="L438"/>
      <c r="M438"/>
      <c r="N438"/>
      <c r="O438"/>
    </row>
    <row r="439" spans="1:15" ht="15.6" thickTop="1" thickBot="1" x14ac:dyDescent="0.35">
      <c r="A439" s="51"/>
      <c r="B439" s="52"/>
      <c r="C439" s="51"/>
      <c r="D439" s="51"/>
      <c r="E439"/>
      <c r="F439"/>
      <c r="G439"/>
      <c r="H439"/>
      <c r="I439"/>
      <c r="J439"/>
      <c r="K439"/>
      <c r="L439"/>
      <c r="M439"/>
      <c r="N439"/>
      <c r="O439"/>
    </row>
    <row r="440" spans="1:15" ht="15.6" thickTop="1" thickBot="1" x14ac:dyDescent="0.35">
      <c r="A440" s="51"/>
      <c r="B440" s="52"/>
      <c r="C440" s="51"/>
      <c r="D440" s="51"/>
      <c r="E440"/>
      <c r="F440"/>
      <c r="G440"/>
      <c r="H440"/>
      <c r="I440"/>
      <c r="J440"/>
      <c r="K440"/>
      <c r="L440"/>
      <c r="M440"/>
      <c r="N440"/>
      <c r="O440"/>
    </row>
    <row r="441" spans="1:15" ht="15.6" thickTop="1" thickBot="1" x14ac:dyDescent="0.35">
      <c r="A441" s="51"/>
      <c r="B441" s="52"/>
      <c r="C441" s="51"/>
      <c r="D441" s="51"/>
      <c r="E441"/>
      <c r="F441"/>
      <c r="G441"/>
      <c r="H441"/>
      <c r="I441"/>
      <c r="J441"/>
      <c r="K441"/>
      <c r="L441"/>
      <c r="M441"/>
      <c r="N441"/>
      <c r="O441"/>
    </row>
    <row r="442" spans="1:15" ht="15.6" thickTop="1" thickBot="1" x14ac:dyDescent="0.35">
      <c r="A442" s="51"/>
      <c r="B442" s="52"/>
      <c r="C442" s="51"/>
      <c r="D442" s="51"/>
      <c r="E442"/>
      <c r="F442"/>
      <c r="G442"/>
      <c r="H442"/>
      <c r="I442"/>
      <c r="J442"/>
      <c r="K442"/>
      <c r="L442"/>
      <c r="M442"/>
      <c r="N442"/>
      <c r="O442"/>
    </row>
    <row r="443" spans="1:15" ht="15.6" thickTop="1" thickBot="1" x14ac:dyDescent="0.35">
      <c r="A443" s="51"/>
      <c r="B443" s="52"/>
      <c r="C443" s="51"/>
      <c r="D443" s="51"/>
      <c r="E443"/>
      <c r="F443"/>
      <c r="G443"/>
      <c r="H443"/>
      <c r="I443"/>
      <c r="J443"/>
      <c r="K443"/>
      <c r="L443"/>
      <c r="M443"/>
      <c r="N443"/>
      <c r="O443"/>
    </row>
    <row r="444" spans="1:15" ht="15.6" thickTop="1" thickBot="1" x14ac:dyDescent="0.35">
      <c r="A444" s="51"/>
      <c r="B444" s="52"/>
      <c r="C444" s="51"/>
      <c r="D444" s="51"/>
      <c r="E444"/>
      <c r="F444"/>
      <c r="G444"/>
      <c r="H444"/>
      <c r="I444"/>
      <c r="J444"/>
      <c r="K444"/>
      <c r="L444"/>
      <c r="M444"/>
      <c r="N444"/>
      <c r="O444"/>
    </row>
    <row r="445" spans="1:15" ht="15.6" thickTop="1" thickBot="1" x14ac:dyDescent="0.35">
      <c r="A445" s="51"/>
      <c r="B445" s="52"/>
      <c r="C445" s="51"/>
      <c r="D445" s="51"/>
      <c r="E445"/>
      <c r="F445"/>
      <c r="G445"/>
      <c r="H445"/>
      <c r="I445"/>
      <c r="J445"/>
      <c r="K445"/>
      <c r="L445"/>
      <c r="M445"/>
      <c r="N445"/>
      <c r="O445"/>
    </row>
    <row r="446" spans="1:15" ht="15.6" thickTop="1" thickBot="1" x14ac:dyDescent="0.35">
      <c r="A446" s="51"/>
      <c r="B446" s="52"/>
      <c r="C446" s="51"/>
      <c r="D446" s="51"/>
      <c r="E446"/>
      <c r="F446"/>
      <c r="G446"/>
      <c r="H446"/>
      <c r="I446"/>
      <c r="J446"/>
      <c r="K446"/>
      <c r="L446"/>
      <c r="M446"/>
      <c r="N446"/>
      <c r="O446"/>
    </row>
    <row r="447" spans="1:15" ht="15.6" thickTop="1" thickBot="1" x14ac:dyDescent="0.35">
      <c r="A447" s="51"/>
      <c r="B447" s="52"/>
      <c r="C447" s="51"/>
      <c r="D447" s="51"/>
      <c r="E447"/>
      <c r="F447"/>
      <c r="G447"/>
      <c r="H447"/>
      <c r="I447"/>
      <c r="J447"/>
      <c r="K447"/>
      <c r="L447"/>
      <c r="M447"/>
      <c r="N447"/>
      <c r="O447"/>
    </row>
    <row r="448" spans="1:15" ht="15.6" thickTop="1" thickBot="1" x14ac:dyDescent="0.35">
      <c r="A448" s="51"/>
      <c r="B448" s="52"/>
      <c r="C448" s="51"/>
      <c r="D448" s="51"/>
      <c r="E448"/>
      <c r="F448"/>
      <c r="G448"/>
      <c r="H448"/>
      <c r="I448"/>
      <c r="J448"/>
      <c r="K448"/>
      <c r="L448"/>
      <c r="M448"/>
      <c r="N448"/>
      <c r="O448"/>
    </row>
    <row r="449" spans="1:15" ht="15.6" thickTop="1" thickBot="1" x14ac:dyDescent="0.35">
      <c r="A449" s="51"/>
      <c r="B449" s="52"/>
      <c r="C449" s="51"/>
      <c r="D449" s="51"/>
      <c r="E449"/>
      <c r="F449"/>
      <c r="G449"/>
      <c r="H449"/>
      <c r="I449"/>
      <c r="J449"/>
      <c r="K449"/>
      <c r="L449"/>
      <c r="M449"/>
      <c r="N449"/>
      <c r="O449"/>
    </row>
    <row r="450" spans="1:15" ht="15.6" thickTop="1" thickBot="1" x14ac:dyDescent="0.35">
      <c r="A450" s="51"/>
      <c r="B450" s="52"/>
      <c r="C450" s="51"/>
      <c r="D450" s="51"/>
      <c r="E450"/>
      <c r="F450"/>
      <c r="G450"/>
      <c r="H450"/>
      <c r="I450"/>
      <c r="J450"/>
      <c r="K450"/>
      <c r="L450"/>
      <c r="M450"/>
      <c r="N450"/>
      <c r="O450"/>
    </row>
    <row r="451" spans="1:15" ht="15.6" thickTop="1" thickBot="1" x14ac:dyDescent="0.35">
      <c r="A451" s="51"/>
      <c r="B451" s="52"/>
      <c r="C451" s="51"/>
      <c r="D451" s="51"/>
      <c r="E451"/>
      <c r="F451"/>
      <c r="G451"/>
      <c r="H451"/>
      <c r="I451"/>
      <c r="J451"/>
      <c r="K451"/>
      <c r="L451"/>
      <c r="M451"/>
      <c r="N451"/>
      <c r="O451"/>
    </row>
    <row r="452" spans="1:15" ht="15.6" thickTop="1" thickBot="1" x14ac:dyDescent="0.35">
      <c r="A452" s="51"/>
      <c r="B452" s="52"/>
      <c r="C452" s="51"/>
      <c r="D452" s="51"/>
      <c r="E452"/>
      <c r="F452"/>
      <c r="G452"/>
      <c r="H452"/>
      <c r="I452"/>
      <c r="J452"/>
      <c r="K452"/>
      <c r="L452"/>
      <c r="M452"/>
      <c r="N452"/>
      <c r="O452"/>
    </row>
    <row r="453" spans="1:15" ht="15.6" thickTop="1" thickBot="1" x14ac:dyDescent="0.35">
      <c r="A453" s="51"/>
      <c r="B453" s="52"/>
      <c r="C453" s="51"/>
      <c r="D453" s="51"/>
      <c r="E453"/>
      <c r="F453"/>
      <c r="G453"/>
      <c r="H453"/>
      <c r="I453"/>
      <c r="J453"/>
      <c r="K453"/>
      <c r="L453"/>
      <c r="M453"/>
      <c r="N453"/>
      <c r="O453"/>
    </row>
    <row r="454" spans="1:15" ht="15.6" thickTop="1" thickBot="1" x14ac:dyDescent="0.35">
      <c r="A454" s="51"/>
      <c r="B454" s="52"/>
      <c r="C454" s="51"/>
      <c r="D454" s="51"/>
      <c r="E454"/>
      <c r="F454"/>
      <c r="G454"/>
      <c r="H454"/>
      <c r="I454"/>
      <c r="J454"/>
      <c r="K454"/>
      <c r="L454"/>
      <c r="M454"/>
      <c r="N454"/>
      <c r="O454"/>
    </row>
    <row r="455" spans="1:15" ht="15.6" thickTop="1" thickBot="1" x14ac:dyDescent="0.35">
      <c r="A455" s="51"/>
      <c r="B455" s="52"/>
      <c r="C455" s="51"/>
      <c r="D455" s="51"/>
      <c r="E455"/>
      <c r="F455"/>
      <c r="G455"/>
      <c r="H455"/>
      <c r="I455"/>
      <c r="J455"/>
      <c r="K455"/>
      <c r="L455"/>
      <c r="M455"/>
      <c r="N455"/>
      <c r="O455"/>
    </row>
    <row r="456" spans="1:15" ht="15.6" thickTop="1" thickBot="1" x14ac:dyDescent="0.35">
      <c r="A456" s="51"/>
      <c r="B456" s="52"/>
      <c r="C456" s="51"/>
      <c r="D456" s="51"/>
      <c r="E456"/>
      <c r="F456"/>
      <c r="G456"/>
      <c r="H456"/>
      <c r="I456"/>
      <c r="J456"/>
      <c r="K456"/>
      <c r="L456"/>
      <c r="M456"/>
      <c r="N456"/>
      <c r="O456"/>
    </row>
    <row r="457" spans="1:15" ht="15.6" thickTop="1" thickBot="1" x14ac:dyDescent="0.35">
      <c r="A457" s="51"/>
      <c r="B457" s="52"/>
      <c r="C457" s="51"/>
      <c r="D457" s="51"/>
      <c r="E457"/>
      <c r="F457"/>
      <c r="G457"/>
      <c r="H457"/>
      <c r="I457"/>
      <c r="J457"/>
      <c r="K457"/>
      <c r="L457"/>
      <c r="M457"/>
      <c r="N457"/>
      <c r="O457"/>
    </row>
    <row r="458" spans="1:15" ht="15.6" thickTop="1" thickBot="1" x14ac:dyDescent="0.35">
      <c r="A458" s="51"/>
      <c r="B458" s="52"/>
      <c r="C458" s="51"/>
      <c r="D458" s="51"/>
      <c r="E458"/>
      <c r="F458"/>
      <c r="G458"/>
      <c r="H458"/>
      <c r="I458"/>
      <c r="J458"/>
      <c r="K458"/>
      <c r="L458"/>
      <c r="M458"/>
      <c r="N458"/>
      <c r="O458"/>
    </row>
    <row r="459" spans="1:15" ht="15.6" thickTop="1" thickBot="1" x14ac:dyDescent="0.35">
      <c r="A459" s="51"/>
      <c r="B459" s="52"/>
      <c r="C459" s="51"/>
      <c r="D459" s="51"/>
      <c r="E459"/>
      <c r="F459"/>
      <c r="G459"/>
      <c r="H459"/>
      <c r="I459"/>
      <c r="J459"/>
      <c r="K459"/>
      <c r="L459"/>
      <c r="M459"/>
      <c r="N459"/>
      <c r="O459"/>
    </row>
    <row r="460" spans="1:15" ht="15.6" thickTop="1" thickBot="1" x14ac:dyDescent="0.35">
      <c r="A460" s="51"/>
      <c r="B460" s="52"/>
      <c r="C460" s="51"/>
      <c r="D460" s="51"/>
      <c r="E460"/>
      <c r="F460"/>
      <c r="G460"/>
      <c r="H460"/>
      <c r="I460"/>
      <c r="J460"/>
      <c r="K460"/>
      <c r="L460"/>
      <c r="M460"/>
      <c r="N460"/>
      <c r="O460"/>
    </row>
    <row r="461" spans="1:15" ht="15.6" thickTop="1" thickBot="1" x14ac:dyDescent="0.35">
      <c r="A461" s="51"/>
      <c r="B461" s="52"/>
      <c r="C461" s="51"/>
      <c r="D461" s="51"/>
      <c r="E461"/>
      <c r="F461"/>
      <c r="G461"/>
      <c r="H461"/>
      <c r="I461"/>
      <c r="J461"/>
      <c r="K461"/>
      <c r="L461"/>
      <c r="M461"/>
      <c r="N461"/>
      <c r="O461"/>
    </row>
    <row r="462" spans="1:15" ht="15.6" thickTop="1" thickBot="1" x14ac:dyDescent="0.35">
      <c r="A462" s="51"/>
      <c r="B462" s="52"/>
      <c r="C462" s="51"/>
      <c r="D462" s="51"/>
      <c r="E462"/>
      <c r="F462"/>
      <c r="G462"/>
      <c r="H462"/>
      <c r="I462"/>
      <c r="J462"/>
      <c r="K462"/>
      <c r="L462"/>
      <c r="M462"/>
      <c r="N462"/>
      <c r="O462"/>
    </row>
    <row r="463" spans="1:15" ht="15.6" thickTop="1" thickBot="1" x14ac:dyDescent="0.35">
      <c r="A463" s="51"/>
      <c r="B463" s="52"/>
      <c r="C463" s="51"/>
      <c r="D463" s="51"/>
      <c r="E463"/>
      <c r="F463"/>
      <c r="G463"/>
      <c r="H463"/>
      <c r="I463"/>
      <c r="J463"/>
      <c r="K463"/>
      <c r="L463"/>
      <c r="M463"/>
      <c r="N463"/>
      <c r="O463"/>
    </row>
    <row r="464" spans="1:15" ht="15.6" thickTop="1" thickBot="1" x14ac:dyDescent="0.35">
      <c r="A464" s="51"/>
      <c r="B464" s="52"/>
      <c r="C464" s="51"/>
      <c r="D464" s="51"/>
      <c r="E464"/>
      <c r="F464"/>
      <c r="G464"/>
      <c r="H464"/>
      <c r="I464"/>
      <c r="J464"/>
      <c r="K464"/>
      <c r="L464"/>
      <c r="M464"/>
      <c r="N464"/>
      <c r="O464"/>
    </row>
    <row r="465" spans="1:15" ht="15.6" thickTop="1" thickBot="1" x14ac:dyDescent="0.35">
      <c r="A465" s="51"/>
      <c r="B465" s="52"/>
      <c r="C465" s="51"/>
      <c r="D465" s="51"/>
      <c r="E465"/>
      <c r="F465"/>
      <c r="G465"/>
      <c r="H465"/>
      <c r="I465"/>
      <c r="J465"/>
      <c r="K465"/>
      <c r="L465"/>
      <c r="M465"/>
      <c r="N465"/>
      <c r="O465"/>
    </row>
    <row r="466" spans="1:15" ht="15.6" thickTop="1" thickBot="1" x14ac:dyDescent="0.35">
      <c r="A466" s="51"/>
      <c r="B466" s="52"/>
      <c r="C466" s="51"/>
      <c r="D466" s="51"/>
      <c r="E466"/>
      <c r="F466"/>
      <c r="G466"/>
      <c r="H466"/>
      <c r="I466"/>
      <c r="J466"/>
      <c r="K466"/>
      <c r="L466"/>
      <c r="M466"/>
      <c r="N466"/>
      <c r="O466"/>
    </row>
    <row r="467" spans="1:15" ht="15.6" thickTop="1" thickBot="1" x14ac:dyDescent="0.35">
      <c r="A467" s="51"/>
      <c r="B467" s="52"/>
      <c r="C467" s="51"/>
      <c r="D467" s="51"/>
      <c r="E467"/>
      <c r="F467"/>
      <c r="G467"/>
      <c r="H467"/>
      <c r="I467"/>
      <c r="J467"/>
      <c r="K467"/>
      <c r="L467"/>
      <c r="M467"/>
      <c r="N467"/>
      <c r="O467"/>
    </row>
    <row r="468" spans="1:15" ht="15.6" thickTop="1" thickBot="1" x14ac:dyDescent="0.35">
      <c r="A468" s="51"/>
      <c r="B468" s="52"/>
      <c r="C468" s="51"/>
      <c r="D468" s="51"/>
      <c r="E468"/>
      <c r="F468"/>
      <c r="G468"/>
      <c r="H468"/>
      <c r="I468"/>
      <c r="J468"/>
      <c r="K468"/>
      <c r="L468"/>
      <c r="M468"/>
      <c r="N468"/>
      <c r="O468"/>
    </row>
    <row r="469" spans="1:15" ht="15.6" thickTop="1" thickBot="1" x14ac:dyDescent="0.35">
      <c r="A469" s="51"/>
      <c r="B469" s="52"/>
      <c r="C469" s="51"/>
      <c r="D469" s="51"/>
      <c r="E469"/>
      <c r="F469"/>
      <c r="G469"/>
      <c r="H469"/>
      <c r="I469"/>
      <c r="J469"/>
      <c r="K469"/>
      <c r="L469"/>
      <c r="M469"/>
      <c r="N469"/>
      <c r="O469"/>
    </row>
    <row r="470" spans="1:15" ht="15.6" thickTop="1" thickBot="1" x14ac:dyDescent="0.35">
      <c r="A470" s="51"/>
      <c r="B470" s="52"/>
      <c r="C470" s="51"/>
      <c r="D470" s="51"/>
      <c r="E470"/>
      <c r="F470"/>
      <c r="G470"/>
      <c r="H470"/>
      <c r="I470"/>
      <c r="J470"/>
      <c r="K470"/>
      <c r="L470"/>
      <c r="M470"/>
      <c r="N470"/>
      <c r="O470"/>
    </row>
    <row r="471" spans="1:15" ht="15.6" thickTop="1" thickBot="1" x14ac:dyDescent="0.35">
      <c r="A471" s="51"/>
      <c r="B471" s="52"/>
      <c r="C471" s="51"/>
      <c r="D471" s="51"/>
      <c r="E471"/>
      <c r="F471"/>
      <c r="G471"/>
      <c r="H471"/>
      <c r="I471"/>
      <c r="J471"/>
      <c r="K471"/>
      <c r="L471"/>
      <c r="M471"/>
      <c r="N471"/>
      <c r="O471"/>
    </row>
    <row r="472" spans="1:15" ht="15.6" thickTop="1" thickBot="1" x14ac:dyDescent="0.35">
      <c r="A472" s="51"/>
      <c r="B472" s="52"/>
      <c r="C472" s="51"/>
      <c r="D472" s="51"/>
      <c r="E472"/>
      <c r="F472"/>
      <c r="G472"/>
      <c r="H472"/>
      <c r="I472"/>
      <c r="J472"/>
      <c r="K472"/>
      <c r="L472"/>
      <c r="M472"/>
      <c r="N472"/>
      <c r="O472"/>
    </row>
    <row r="473" spans="1:15" ht="15.6" thickTop="1" thickBot="1" x14ac:dyDescent="0.35">
      <c r="A473" s="51"/>
      <c r="B473" s="52"/>
      <c r="C473" s="51"/>
      <c r="D473" s="51"/>
      <c r="E473"/>
      <c r="F473"/>
      <c r="G473"/>
      <c r="H473"/>
      <c r="I473"/>
      <c r="J473"/>
      <c r="K473"/>
      <c r="L473"/>
      <c r="M473"/>
      <c r="N473"/>
      <c r="O473"/>
    </row>
    <row r="474" spans="1:15" ht="15.6" thickTop="1" thickBot="1" x14ac:dyDescent="0.35">
      <c r="A474" s="51"/>
      <c r="B474" s="52"/>
      <c r="C474" s="51"/>
      <c r="D474" s="51"/>
      <c r="E474"/>
      <c r="F474"/>
      <c r="G474"/>
      <c r="H474"/>
      <c r="I474"/>
      <c r="J474"/>
      <c r="K474"/>
      <c r="L474"/>
      <c r="M474"/>
      <c r="N474"/>
      <c r="O474"/>
    </row>
    <row r="475" spans="1:15" ht="15.6" thickTop="1" thickBot="1" x14ac:dyDescent="0.35">
      <c r="A475" s="51"/>
      <c r="B475" s="52"/>
      <c r="C475" s="51"/>
      <c r="D475" s="51"/>
      <c r="E475"/>
      <c r="F475"/>
      <c r="G475"/>
      <c r="H475"/>
      <c r="I475"/>
      <c r="J475"/>
      <c r="K475"/>
      <c r="L475"/>
      <c r="M475"/>
      <c r="N475"/>
      <c r="O475"/>
    </row>
    <row r="476" spans="1:15" ht="15.6" thickTop="1" thickBot="1" x14ac:dyDescent="0.35">
      <c r="A476" s="51"/>
      <c r="B476" s="52"/>
      <c r="C476" s="51"/>
      <c r="D476" s="51"/>
      <c r="E476"/>
      <c r="F476"/>
      <c r="G476"/>
      <c r="H476"/>
      <c r="I476"/>
      <c r="J476"/>
      <c r="K476"/>
      <c r="L476"/>
      <c r="M476"/>
      <c r="N476"/>
      <c r="O476"/>
    </row>
    <row r="477" spans="1:15" ht="15.6" thickTop="1" thickBot="1" x14ac:dyDescent="0.35">
      <c r="A477" s="51"/>
      <c r="B477" s="52"/>
      <c r="C477" s="51"/>
      <c r="D477" s="51"/>
      <c r="E477"/>
      <c r="F477"/>
      <c r="G477"/>
      <c r="H477"/>
      <c r="I477"/>
      <c r="J477"/>
      <c r="K477"/>
      <c r="L477"/>
      <c r="M477"/>
      <c r="N477"/>
      <c r="O477"/>
    </row>
    <row r="478" spans="1:15" ht="15.6" thickTop="1" thickBot="1" x14ac:dyDescent="0.35">
      <c r="A478" s="51"/>
      <c r="B478" s="52"/>
      <c r="C478" s="51"/>
      <c r="D478" s="51"/>
      <c r="E478"/>
      <c r="F478"/>
      <c r="G478"/>
      <c r="H478"/>
      <c r="I478"/>
      <c r="J478"/>
      <c r="K478"/>
      <c r="L478"/>
      <c r="M478"/>
      <c r="N478"/>
      <c r="O478"/>
    </row>
    <row r="479" spans="1:15" ht="15.6" thickTop="1" thickBot="1" x14ac:dyDescent="0.35">
      <c r="A479" s="51"/>
      <c r="B479" s="52"/>
      <c r="C479" s="51"/>
      <c r="D479" s="51"/>
      <c r="E479"/>
      <c r="F479"/>
      <c r="G479"/>
      <c r="H479"/>
      <c r="I479"/>
      <c r="J479"/>
      <c r="K479"/>
      <c r="L479"/>
      <c r="M479"/>
      <c r="N479"/>
      <c r="O479"/>
    </row>
    <row r="480" spans="1:15" ht="15.6" thickTop="1" thickBot="1" x14ac:dyDescent="0.35">
      <c r="A480" s="51"/>
      <c r="B480" s="52"/>
      <c r="C480" s="51"/>
      <c r="D480" s="51"/>
      <c r="E480"/>
      <c r="F480"/>
      <c r="G480"/>
      <c r="H480"/>
      <c r="I480"/>
      <c r="J480"/>
      <c r="K480"/>
      <c r="L480"/>
      <c r="M480"/>
      <c r="N480"/>
      <c r="O480"/>
    </row>
    <row r="481" spans="1:15" ht="15.6" thickTop="1" thickBot="1" x14ac:dyDescent="0.35">
      <c r="A481" s="51"/>
      <c r="B481" s="52"/>
      <c r="C481" s="51"/>
      <c r="D481" s="51"/>
      <c r="E481"/>
      <c r="F481"/>
      <c r="G481"/>
      <c r="H481"/>
      <c r="I481"/>
      <c r="J481"/>
      <c r="K481"/>
      <c r="L481"/>
      <c r="M481"/>
      <c r="N481"/>
      <c r="O481"/>
    </row>
    <row r="482" spans="1:15" ht="15.6" thickTop="1" thickBot="1" x14ac:dyDescent="0.35">
      <c r="A482" s="51"/>
      <c r="B482" s="52"/>
      <c r="C482" s="51"/>
      <c r="D482" s="51"/>
      <c r="E482"/>
      <c r="F482"/>
      <c r="G482"/>
      <c r="H482"/>
      <c r="I482"/>
      <c r="J482"/>
      <c r="K482"/>
      <c r="L482"/>
      <c r="M482"/>
      <c r="N482"/>
      <c r="O482"/>
    </row>
    <row r="483" spans="1:15" ht="15.6" thickTop="1" thickBot="1" x14ac:dyDescent="0.35">
      <c r="A483" s="51"/>
      <c r="B483" s="52"/>
      <c r="C483" s="51"/>
      <c r="D483" s="51"/>
      <c r="E483"/>
      <c r="F483"/>
      <c r="G483"/>
      <c r="H483"/>
      <c r="I483"/>
      <c r="J483"/>
      <c r="K483"/>
      <c r="L483"/>
      <c r="M483"/>
      <c r="N483"/>
      <c r="O483"/>
    </row>
    <row r="484" spans="1:15" ht="15.6" thickTop="1" thickBot="1" x14ac:dyDescent="0.35">
      <c r="A484" s="51"/>
      <c r="B484" s="52"/>
      <c r="C484" s="51"/>
      <c r="D484" s="51"/>
      <c r="E484"/>
      <c r="F484"/>
      <c r="G484"/>
      <c r="H484"/>
      <c r="I484"/>
      <c r="J484"/>
      <c r="K484"/>
      <c r="L484"/>
      <c r="M484"/>
      <c r="N484"/>
      <c r="O484"/>
    </row>
    <row r="485" spans="1:15" ht="15.6" thickTop="1" thickBot="1" x14ac:dyDescent="0.35">
      <c r="A485" s="51"/>
      <c r="B485" s="52"/>
      <c r="C485" s="51"/>
      <c r="D485" s="51"/>
      <c r="E485"/>
      <c r="F485"/>
      <c r="G485"/>
      <c r="H485"/>
      <c r="I485"/>
      <c r="J485"/>
      <c r="K485"/>
      <c r="L485"/>
      <c r="M485"/>
      <c r="N485"/>
      <c r="O485"/>
    </row>
    <row r="486" spans="1:15" ht="15.6" thickTop="1" thickBot="1" x14ac:dyDescent="0.35">
      <c r="A486" s="51"/>
      <c r="B486" s="52"/>
      <c r="C486" s="51"/>
      <c r="D486" s="51"/>
      <c r="E486"/>
      <c r="F486"/>
      <c r="G486"/>
      <c r="H486"/>
      <c r="I486"/>
      <c r="J486"/>
      <c r="K486"/>
      <c r="L486"/>
      <c r="M486"/>
      <c r="N486"/>
      <c r="O486"/>
    </row>
    <row r="487" spans="1:15" ht="15.6" thickTop="1" thickBot="1" x14ac:dyDescent="0.35">
      <c r="A487" s="51"/>
      <c r="B487" s="52"/>
      <c r="C487" s="51"/>
      <c r="D487" s="51"/>
      <c r="E487"/>
      <c r="F487"/>
      <c r="G487"/>
      <c r="H487"/>
      <c r="I487"/>
      <c r="J487"/>
      <c r="K487"/>
      <c r="L487"/>
      <c r="M487"/>
      <c r="N487"/>
      <c r="O487"/>
    </row>
    <row r="488" spans="1:15" ht="15.6" thickTop="1" thickBot="1" x14ac:dyDescent="0.35">
      <c r="A488" s="51"/>
      <c r="B488" s="52"/>
      <c r="C488" s="51"/>
      <c r="D488" s="51"/>
      <c r="E488"/>
      <c r="F488"/>
      <c r="G488"/>
      <c r="H488"/>
      <c r="I488"/>
      <c r="J488"/>
      <c r="K488"/>
      <c r="L488"/>
      <c r="M488"/>
      <c r="N488"/>
      <c r="O488"/>
    </row>
    <row r="489" spans="1:15" ht="15.6" thickTop="1" thickBot="1" x14ac:dyDescent="0.35">
      <c r="A489" s="51"/>
      <c r="B489" s="52"/>
      <c r="C489" s="51"/>
      <c r="D489" s="51"/>
      <c r="E489"/>
      <c r="F489"/>
      <c r="G489"/>
      <c r="H489"/>
      <c r="I489"/>
      <c r="J489"/>
      <c r="K489"/>
      <c r="L489"/>
      <c r="M489"/>
      <c r="N489"/>
      <c r="O489"/>
    </row>
    <row r="490" spans="1:15" ht="15.6" thickTop="1" thickBot="1" x14ac:dyDescent="0.35">
      <c r="A490" s="51"/>
      <c r="B490" s="52"/>
      <c r="C490" s="51"/>
      <c r="D490" s="51"/>
      <c r="E490"/>
      <c r="F490"/>
      <c r="G490"/>
      <c r="H490"/>
      <c r="I490"/>
      <c r="J490"/>
      <c r="K490"/>
      <c r="L490"/>
      <c r="M490"/>
      <c r="N490"/>
      <c r="O490"/>
    </row>
    <row r="491" spans="1:15" ht="15.6" thickTop="1" thickBot="1" x14ac:dyDescent="0.35">
      <c r="A491" s="51"/>
      <c r="B491" s="52"/>
      <c r="C491" s="51"/>
      <c r="D491" s="51"/>
      <c r="E491"/>
      <c r="F491"/>
      <c r="G491"/>
      <c r="H491"/>
      <c r="I491"/>
      <c r="J491"/>
      <c r="K491"/>
      <c r="L491"/>
      <c r="M491"/>
      <c r="N491"/>
      <c r="O491"/>
    </row>
    <row r="492" spans="1:15" ht="15.6" thickTop="1" thickBot="1" x14ac:dyDescent="0.35">
      <c r="A492" s="51"/>
      <c r="B492" s="52"/>
      <c r="C492" s="51"/>
      <c r="D492" s="51"/>
      <c r="E492"/>
      <c r="F492"/>
      <c r="G492"/>
      <c r="H492"/>
      <c r="I492"/>
      <c r="J492"/>
      <c r="K492"/>
      <c r="L492"/>
      <c r="M492"/>
      <c r="N492"/>
      <c r="O492"/>
    </row>
    <row r="493" spans="1:15" ht="15.6" thickTop="1" thickBot="1" x14ac:dyDescent="0.35">
      <c r="A493" s="51"/>
      <c r="B493" s="52"/>
      <c r="C493" s="51"/>
      <c r="D493" s="51"/>
      <c r="E493"/>
      <c r="F493"/>
      <c r="G493"/>
      <c r="H493"/>
      <c r="I493"/>
      <c r="J493"/>
      <c r="K493"/>
      <c r="L493"/>
      <c r="M493"/>
      <c r="N493"/>
      <c r="O493"/>
    </row>
    <row r="494" spans="1:15" ht="15.6" thickTop="1" thickBot="1" x14ac:dyDescent="0.35">
      <c r="A494" s="51"/>
      <c r="B494" s="52"/>
      <c r="C494" s="51"/>
      <c r="D494" s="51"/>
      <c r="E494"/>
      <c r="F494"/>
      <c r="G494"/>
      <c r="H494"/>
      <c r="I494"/>
      <c r="J494"/>
      <c r="K494"/>
      <c r="L494"/>
      <c r="M494"/>
      <c r="N494"/>
      <c r="O494"/>
    </row>
    <row r="495" spans="1:15" ht="15.6" thickTop="1" thickBot="1" x14ac:dyDescent="0.35">
      <c r="A495" s="51"/>
      <c r="B495" s="52"/>
      <c r="C495" s="51"/>
      <c r="D495" s="51"/>
      <c r="E495"/>
      <c r="F495"/>
      <c r="G495"/>
      <c r="H495"/>
      <c r="I495"/>
      <c r="J495"/>
      <c r="K495"/>
      <c r="L495"/>
      <c r="M495"/>
      <c r="N495"/>
      <c r="O495"/>
    </row>
    <row r="496" spans="1:15" ht="15.6" thickTop="1" thickBot="1" x14ac:dyDescent="0.35">
      <c r="A496" s="51"/>
      <c r="B496" s="52"/>
      <c r="C496" s="51"/>
      <c r="D496" s="51"/>
      <c r="E496"/>
      <c r="F496"/>
      <c r="G496"/>
      <c r="H496"/>
      <c r="I496"/>
      <c r="J496"/>
      <c r="K496"/>
      <c r="L496"/>
      <c r="M496"/>
      <c r="N496"/>
      <c r="O496"/>
    </row>
    <row r="497" spans="1:15" ht="15.6" thickTop="1" thickBot="1" x14ac:dyDescent="0.35">
      <c r="A497" s="51"/>
      <c r="B497" s="52"/>
      <c r="C497" s="51"/>
      <c r="D497" s="51"/>
      <c r="E497"/>
      <c r="F497"/>
      <c r="G497"/>
      <c r="H497"/>
      <c r="I497"/>
      <c r="J497"/>
      <c r="K497"/>
      <c r="L497"/>
      <c r="M497"/>
      <c r="N497"/>
      <c r="O497"/>
    </row>
    <row r="498" spans="1:15" ht="15.6" thickTop="1" thickBot="1" x14ac:dyDescent="0.35">
      <c r="A498" s="51"/>
      <c r="B498" s="52"/>
      <c r="C498" s="51"/>
      <c r="D498" s="51"/>
      <c r="E498"/>
      <c r="F498"/>
      <c r="G498"/>
      <c r="H498"/>
      <c r="I498"/>
      <c r="J498"/>
      <c r="K498"/>
      <c r="L498"/>
      <c r="M498"/>
      <c r="N498"/>
      <c r="O498"/>
    </row>
    <row r="499" spans="1:15" ht="15.6" thickTop="1" thickBot="1" x14ac:dyDescent="0.35">
      <c r="A499" s="51"/>
      <c r="B499" s="52"/>
      <c r="C499" s="51"/>
      <c r="D499" s="51"/>
      <c r="E499"/>
      <c r="F499"/>
      <c r="G499"/>
      <c r="H499"/>
      <c r="I499"/>
      <c r="J499"/>
      <c r="K499"/>
      <c r="L499"/>
      <c r="M499"/>
      <c r="N499"/>
      <c r="O499"/>
    </row>
    <row r="500" spans="1:15" ht="15.6" thickTop="1" thickBot="1" x14ac:dyDescent="0.35">
      <c r="A500" s="51"/>
      <c r="B500" s="52"/>
      <c r="C500" s="51"/>
      <c r="D500" s="51"/>
      <c r="E500"/>
      <c r="F500"/>
      <c r="G500"/>
      <c r="H500"/>
      <c r="I500"/>
      <c r="J500"/>
      <c r="K500"/>
      <c r="L500"/>
      <c r="M500"/>
      <c r="N500"/>
      <c r="O500"/>
    </row>
    <row r="501" spans="1:15" ht="15" thickTop="1" x14ac:dyDescent="0.3">
      <c r="B501" s="29"/>
    </row>
    <row r="502" spans="1:15" x14ac:dyDescent="0.3">
      <c r="B502" s="29"/>
    </row>
    <row r="503" spans="1:15" x14ac:dyDescent="0.3">
      <c r="B503" s="29"/>
    </row>
    <row r="504" spans="1:15" x14ac:dyDescent="0.3">
      <c r="B504" s="29"/>
    </row>
    <row r="505" spans="1:15" x14ac:dyDescent="0.3">
      <c r="B505" s="29"/>
    </row>
    <row r="506" spans="1:15" x14ac:dyDescent="0.3">
      <c r="B506" s="29"/>
    </row>
    <row r="507" spans="1:15" x14ac:dyDescent="0.3">
      <c r="B507" s="29"/>
    </row>
    <row r="508" spans="1:15" x14ac:dyDescent="0.3">
      <c r="B508" s="29"/>
    </row>
    <row r="509" spans="1:15" x14ac:dyDescent="0.3">
      <c r="B509" s="29"/>
    </row>
    <row r="510" spans="1:15" x14ac:dyDescent="0.3">
      <c r="B510" s="29"/>
    </row>
    <row r="511" spans="1:15" x14ac:dyDescent="0.3">
      <c r="B511" s="29"/>
    </row>
    <row r="512" spans="1:15" x14ac:dyDescent="0.3">
      <c r="B512" s="29"/>
    </row>
    <row r="513" spans="2:2" x14ac:dyDescent="0.3">
      <c r="B513" s="29"/>
    </row>
    <row r="514" spans="2:2" x14ac:dyDescent="0.3">
      <c r="B514" s="29"/>
    </row>
    <row r="515" spans="2:2" x14ac:dyDescent="0.3">
      <c r="B515" s="29"/>
    </row>
    <row r="516" spans="2:2" x14ac:dyDescent="0.3">
      <c r="B516" s="29"/>
    </row>
    <row r="517" spans="2:2" x14ac:dyDescent="0.3">
      <c r="B517" s="29"/>
    </row>
    <row r="518" spans="2:2" x14ac:dyDescent="0.3">
      <c r="B518" s="29"/>
    </row>
    <row r="519" spans="2:2" x14ac:dyDescent="0.3">
      <c r="B519" s="29"/>
    </row>
    <row r="520" spans="2:2" x14ac:dyDescent="0.3">
      <c r="B520" s="29"/>
    </row>
    <row r="521" spans="2:2" x14ac:dyDescent="0.3">
      <c r="B521" s="29"/>
    </row>
    <row r="522" spans="2:2" x14ac:dyDescent="0.3">
      <c r="B522" s="29"/>
    </row>
    <row r="523" spans="2:2" x14ac:dyDescent="0.3">
      <c r="B523" s="29"/>
    </row>
    <row r="524" spans="2:2" x14ac:dyDescent="0.3">
      <c r="B524" s="29"/>
    </row>
    <row r="525" spans="2:2" x14ac:dyDescent="0.3">
      <c r="B525" s="29"/>
    </row>
    <row r="526" spans="2:2" x14ac:dyDescent="0.3">
      <c r="B526" s="29"/>
    </row>
    <row r="527" spans="2:2" x14ac:dyDescent="0.3">
      <c r="B527" s="29"/>
    </row>
    <row r="528" spans="2:2" x14ac:dyDescent="0.3">
      <c r="B528" s="29"/>
    </row>
    <row r="529" spans="2:2" x14ac:dyDescent="0.3">
      <c r="B529" s="29"/>
    </row>
    <row r="530" spans="2:2" x14ac:dyDescent="0.3">
      <c r="B530" s="29"/>
    </row>
    <row r="531" spans="2:2" x14ac:dyDescent="0.3">
      <c r="B531" s="29"/>
    </row>
    <row r="532" spans="2:2" x14ac:dyDescent="0.3">
      <c r="B532" s="29"/>
    </row>
    <row r="533" spans="2:2" x14ac:dyDescent="0.3">
      <c r="B533" s="29"/>
    </row>
    <row r="534" spans="2:2" x14ac:dyDescent="0.3">
      <c r="B534" s="29"/>
    </row>
    <row r="535" spans="2:2" x14ac:dyDescent="0.3">
      <c r="B535" s="29"/>
    </row>
    <row r="536" spans="2:2" x14ac:dyDescent="0.3">
      <c r="B536" s="29"/>
    </row>
    <row r="537" spans="2:2" x14ac:dyDescent="0.3">
      <c r="B537" s="29"/>
    </row>
    <row r="538" spans="2:2" x14ac:dyDescent="0.3">
      <c r="B538" s="29"/>
    </row>
    <row r="539" spans="2:2" x14ac:dyDescent="0.3">
      <c r="B539" s="29"/>
    </row>
    <row r="540" spans="2:2" x14ac:dyDescent="0.3">
      <c r="B540" s="29"/>
    </row>
    <row r="541" spans="2:2" x14ac:dyDescent="0.3">
      <c r="B541" s="29"/>
    </row>
    <row r="542" spans="2:2" x14ac:dyDescent="0.3">
      <c r="B542" s="29"/>
    </row>
    <row r="543" spans="2:2" x14ac:dyDescent="0.3">
      <c r="B543" s="29"/>
    </row>
    <row r="544" spans="2:2" x14ac:dyDescent="0.3">
      <c r="B544" s="29"/>
    </row>
    <row r="545" spans="2:2" x14ac:dyDescent="0.3">
      <c r="B545" s="29"/>
    </row>
    <row r="546" spans="2:2" x14ac:dyDescent="0.3">
      <c r="B546" s="29"/>
    </row>
    <row r="547" spans="2:2" x14ac:dyDescent="0.3">
      <c r="B547" s="29"/>
    </row>
    <row r="548" spans="2:2" x14ac:dyDescent="0.3">
      <c r="B548" s="29"/>
    </row>
    <row r="549" spans="2:2" x14ac:dyDescent="0.3">
      <c r="B549" s="29"/>
    </row>
    <row r="550" spans="2:2" x14ac:dyDescent="0.3">
      <c r="B550" s="29"/>
    </row>
    <row r="551" spans="2:2" x14ac:dyDescent="0.3">
      <c r="B551" s="29"/>
    </row>
    <row r="552" spans="2:2" x14ac:dyDescent="0.3">
      <c r="B552" s="29"/>
    </row>
    <row r="553" spans="2:2" x14ac:dyDescent="0.3">
      <c r="B553" s="29"/>
    </row>
    <row r="554" spans="2:2" x14ac:dyDescent="0.3">
      <c r="B554" s="29"/>
    </row>
    <row r="555" spans="2:2" x14ac:dyDescent="0.3">
      <c r="B555" s="29"/>
    </row>
    <row r="556" spans="2:2" x14ac:dyDescent="0.3">
      <c r="B556" s="29"/>
    </row>
    <row r="557" spans="2:2" x14ac:dyDescent="0.3">
      <c r="B557" s="29"/>
    </row>
    <row r="558" spans="2:2" x14ac:dyDescent="0.3">
      <c r="B558" s="29"/>
    </row>
    <row r="559" spans="2:2" x14ac:dyDescent="0.3">
      <c r="B559" s="29"/>
    </row>
    <row r="560" spans="2:2" x14ac:dyDescent="0.3">
      <c r="B560" s="29"/>
    </row>
    <row r="561" spans="2:2" x14ac:dyDescent="0.3">
      <c r="B561" s="29"/>
    </row>
    <row r="562" spans="2:2" x14ac:dyDescent="0.3">
      <c r="B562" s="29"/>
    </row>
    <row r="563" spans="2:2" x14ac:dyDescent="0.3">
      <c r="B563" s="29"/>
    </row>
    <row r="564" spans="2:2" x14ac:dyDescent="0.3">
      <c r="B564" s="29"/>
    </row>
    <row r="565" spans="2:2" x14ac:dyDescent="0.3">
      <c r="B565" s="29"/>
    </row>
    <row r="566" spans="2:2" x14ac:dyDescent="0.3">
      <c r="B566" s="29"/>
    </row>
    <row r="567" spans="2:2" x14ac:dyDescent="0.3">
      <c r="B567" s="29"/>
    </row>
    <row r="568" spans="2:2" x14ac:dyDescent="0.3">
      <c r="B568" s="29"/>
    </row>
    <row r="569" spans="2:2" x14ac:dyDescent="0.3">
      <c r="B569" s="29"/>
    </row>
    <row r="570" spans="2:2" x14ac:dyDescent="0.3">
      <c r="B570" s="29"/>
    </row>
    <row r="571" spans="2:2" x14ac:dyDescent="0.3">
      <c r="B571" s="29"/>
    </row>
    <row r="572" spans="2:2" x14ac:dyDescent="0.3">
      <c r="B572" s="29"/>
    </row>
    <row r="573" spans="2:2" x14ac:dyDescent="0.3">
      <c r="B573" s="29"/>
    </row>
    <row r="574" spans="2:2" x14ac:dyDescent="0.3">
      <c r="B574" s="29"/>
    </row>
    <row r="575" spans="2:2" x14ac:dyDescent="0.3">
      <c r="B575" s="29"/>
    </row>
    <row r="576" spans="2:2" x14ac:dyDescent="0.3">
      <c r="B576" s="29"/>
    </row>
    <row r="577" spans="2:2" x14ac:dyDescent="0.3">
      <c r="B577" s="29"/>
    </row>
    <row r="578" spans="2:2" x14ac:dyDescent="0.3">
      <c r="B578" s="29"/>
    </row>
    <row r="579" spans="2:2" x14ac:dyDescent="0.3">
      <c r="B579" s="29"/>
    </row>
    <row r="580" spans="2:2" x14ac:dyDescent="0.3">
      <c r="B580" s="29"/>
    </row>
    <row r="581" spans="2:2" x14ac:dyDescent="0.3">
      <c r="B581" s="29"/>
    </row>
    <row r="582" spans="2:2" x14ac:dyDescent="0.3">
      <c r="B582" s="29"/>
    </row>
    <row r="583" spans="2:2" x14ac:dyDescent="0.3">
      <c r="B583" s="29"/>
    </row>
    <row r="584" spans="2:2" x14ac:dyDescent="0.3">
      <c r="B584" s="29"/>
    </row>
    <row r="585" spans="2:2" x14ac:dyDescent="0.3">
      <c r="B585" s="29"/>
    </row>
    <row r="586" spans="2:2" x14ac:dyDescent="0.3">
      <c r="B586" s="29"/>
    </row>
    <row r="587" spans="2:2" x14ac:dyDescent="0.3">
      <c r="B587" s="29"/>
    </row>
    <row r="588" spans="2:2" x14ac:dyDescent="0.3">
      <c r="B588" s="29"/>
    </row>
    <row r="589" spans="2:2" x14ac:dyDescent="0.3">
      <c r="B589" s="29"/>
    </row>
    <row r="590" spans="2:2" x14ac:dyDescent="0.3">
      <c r="B590" s="29"/>
    </row>
    <row r="591" spans="2:2" x14ac:dyDescent="0.3">
      <c r="B591" s="29"/>
    </row>
    <row r="592" spans="2:2" x14ac:dyDescent="0.3">
      <c r="B592" s="29"/>
    </row>
    <row r="593" spans="2:2" x14ac:dyDescent="0.3">
      <c r="B593" s="29"/>
    </row>
    <row r="594" spans="2:2" x14ac:dyDescent="0.3">
      <c r="B594" s="29"/>
    </row>
    <row r="595" spans="2:2" x14ac:dyDescent="0.3">
      <c r="B595" s="29"/>
    </row>
    <row r="596" spans="2:2" x14ac:dyDescent="0.3">
      <c r="B596" s="29"/>
    </row>
    <row r="597" spans="2:2" x14ac:dyDescent="0.3">
      <c r="B597" s="29"/>
    </row>
    <row r="598" spans="2:2" x14ac:dyDescent="0.3">
      <c r="B598" s="29"/>
    </row>
    <row r="599" spans="2:2" x14ac:dyDescent="0.3">
      <c r="B599" s="29"/>
    </row>
    <row r="600" spans="2:2" x14ac:dyDescent="0.3">
      <c r="B600" s="29"/>
    </row>
    <row r="601" spans="2:2" x14ac:dyDescent="0.3">
      <c r="B601" s="29"/>
    </row>
    <row r="602" spans="2:2" x14ac:dyDescent="0.3">
      <c r="B602" s="29"/>
    </row>
    <row r="603" spans="2:2" x14ac:dyDescent="0.3">
      <c r="B603" s="29"/>
    </row>
    <row r="604" spans="2:2" x14ac:dyDescent="0.3">
      <c r="B604" s="29"/>
    </row>
    <row r="605" spans="2:2" x14ac:dyDescent="0.3">
      <c r="B605" s="29"/>
    </row>
    <row r="606" spans="2:2" x14ac:dyDescent="0.3">
      <c r="B606" s="29"/>
    </row>
    <row r="607" spans="2:2" x14ac:dyDescent="0.3">
      <c r="B607" s="29"/>
    </row>
    <row r="608" spans="2:2" x14ac:dyDescent="0.3">
      <c r="B608" s="29"/>
    </row>
    <row r="609" spans="2:2" x14ac:dyDescent="0.3">
      <c r="B609" s="29"/>
    </row>
    <row r="610" spans="2:2" x14ac:dyDescent="0.3">
      <c r="B610" s="29"/>
    </row>
    <row r="611" spans="2:2" x14ac:dyDescent="0.3">
      <c r="B611" s="29"/>
    </row>
    <row r="612" spans="2:2" x14ac:dyDescent="0.3">
      <c r="B612" s="29"/>
    </row>
    <row r="613" spans="2:2" x14ac:dyDescent="0.3">
      <c r="B613" s="29"/>
    </row>
    <row r="614" spans="2:2" x14ac:dyDescent="0.3">
      <c r="B614" s="29"/>
    </row>
    <row r="615" spans="2:2" x14ac:dyDescent="0.3">
      <c r="B615" s="29"/>
    </row>
    <row r="616" spans="2:2" x14ac:dyDescent="0.3">
      <c r="B616" s="29"/>
    </row>
    <row r="617" spans="2:2" x14ac:dyDescent="0.3">
      <c r="B617" s="29"/>
    </row>
    <row r="618" spans="2:2" x14ac:dyDescent="0.3">
      <c r="B618" s="29"/>
    </row>
    <row r="619" spans="2:2" x14ac:dyDescent="0.3">
      <c r="B619" s="29"/>
    </row>
    <row r="620" spans="2:2" x14ac:dyDescent="0.3">
      <c r="B620" s="29"/>
    </row>
    <row r="621" spans="2:2" x14ac:dyDescent="0.3">
      <c r="B621" s="29"/>
    </row>
    <row r="622" spans="2:2" x14ac:dyDescent="0.3">
      <c r="B622" s="29"/>
    </row>
    <row r="623" spans="2:2" x14ac:dyDescent="0.3">
      <c r="B623" s="29"/>
    </row>
    <row r="624" spans="2:2" x14ac:dyDescent="0.3">
      <c r="B624" s="29"/>
    </row>
    <row r="625" spans="2:2" x14ac:dyDescent="0.3">
      <c r="B625" s="29"/>
    </row>
    <row r="626" spans="2:2" x14ac:dyDescent="0.3">
      <c r="B626" s="29"/>
    </row>
    <row r="627" spans="2:2" x14ac:dyDescent="0.3">
      <c r="B627" s="29"/>
    </row>
    <row r="628" spans="2:2" x14ac:dyDescent="0.3">
      <c r="B628" s="29"/>
    </row>
    <row r="629" spans="2:2" x14ac:dyDescent="0.3">
      <c r="B629" s="29"/>
    </row>
    <row r="630" spans="2:2" x14ac:dyDescent="0.3">
      <c r="B630" s="29"/>
    </row>
    <row r="631" spans="2:2" x14ac:dyDescent="0.3">
      <c r="B631" s="29"/>
    </row>
    <row r="632" spans="2:2" x14ac:dyDescent="0.3">
      <c r="B632" s="29"/>
    </row>
    <row r="633" spans="2:2" x14ac:dyDescent="0.3">
      <c r="B633" s="29"/>
    </row>
    <row r="634" spans="2:2" x14ac:dyDescent="0.3">
      <c r="B634" s="29"/>
    </row>
    <row r="635" spans="2:2" x14ac:dyDescent="0.3">
      <c r="B635" s="29"/>
    </row>
    <row r="636" spans="2:2" x14ac:dyDescent="0.3">
      <c r="B636" s="29"/>
    </row>
    <row r="637" spans="2:2" x14ac:dyDescent="0.3">
      <c r="B637" s="29"/>
    </row>
    <row r="638" spans="2:2" x14ac:dyDescent="0.3">
      <c r="B638" s="29"/>
    </row>
    <row r="639" spans="2:2" x14ac:dyDescent="0.3">
      <c r="B639" s="29"/>
    </row>
    <row r="640" spans="2:2" x14ac:dyDescent="0.3">
      <c r="B640" s="29"/>
    </row>
    <row r="641" spans="2:2" x14ac:dyDescent="0.3">
      <c r="B641" s="29"/>
    </row>
    <row r="642" spans="2:2" x14ac:dyDescent="0.3">
      <c r="B642" s="29"/>
    </row>
    <row r="643" spans="2:2" x14ac:dyDescent="0.3">
      <c r="B643" s="29"/>
    </row>
    <row r="644" spans="2:2" x14ac:dyDescent="0.3">
      <c r="B644" s="29"/>
    </row>
    <row r="645" spans="2:2" x14ac:dyDescent="0.3">
      <c r="B645" s="29"/>
    </row>
    <row r="646" spans="2:2" x14ac:dyDescent="0.3">
      <c r="B646" s="29"/>
    </row>
    <row r="647" spans="2:2" x14ac:dyDescent="0.3">
      <c r="B647" s="29"/>
    </row>
    <row r="648" spans="2:2" x14ac:dyDescent="0.3">
      <c r="B648" s="29"/>
    </row>
    <row r="649" spans="2:2" x14ac:dyDescent="0.3">
      <c r="B649" s="29"/>
    </row>
    <row r="650" spans="2:2" x14ac:dyDescent="0.3">
      <c r="B650" s="29"/>
    </row>
    <row r="651" spans="2:2" x14ac:dyDescent="0.3">
      <c r="B651" s="29"/>
    </row>
    <row r="652" spans="2:2" x14ac:dyDescent="0.3">
      <c r="B652" s="29"/>
    </row>
    <row r="653" spans="2:2" x14ac:dyDescent="0.3">
      <c r="B653" s="29"/>
    </row>
    <row r="654" spans="2:2" x14ac:dyDescent="0.3">
      <c r="B654" s="29"/>
    </row>
    <row r="655" spans="2:2" x14ac:dyDescent="0.3">
      <c r="B655" s="29"/>
    </row>
    <row r="656" spans="2:2" x14ac:dyDescent="0.3">
      <c r="B656" s="29"/>
    </row>
    <row r="657" spans="2:2" x14ac:dyDescent="0.3">
      <c r="B657" s="29"/>
    </row>
    <row r="658" spans="2:2" x14ac:dyDescent="0.3">
      <c r="B658" s="29"/>
    </row>
    <row r="659" spans="2:2" x14ac:dyDescent="0.3">
      <c r="B659" s="29"/>
    </row>
    <row r="660" spans="2:2" x14ac:dyDescent="0.3">
      <c r="B660" s="29"/>
    </row>
    <row r="661" spans="2:2" x14ac:dyDescent="0.3">
      <c r="B661" s="29"/>
    </row>
    <row r="662" spans="2:2" x14ac:dyDescent="0.3">
      <c r="B662" s="29"/>
    </row>
    <row r="663" spans="2:2" x14ac:dyDescent="0.3">
      <c r="B663" s="29"/>
    </row>
    <row r="664" spans="2:2" x14ac:dyDescent="0.3">
      <c r="B664" s="29"/>
    </row>
    <row r="665" spans="2:2" x14ac:dyDescent="0.3">
      <c r="B665" s="29"/>
    </row>
    <row r="666" spans="2:2" x14ac:dyDescent="0.3">
      <c r="B666" s="29"/>
    </row>
    <row r="667" spans="2:2" x14ac:dyDescent="0.3">
      <c r="B667" s="29"/>
    </row>
    <row r="668" spans="2:2" x14ac:dyDescent="0.3">
      <c r="B668" s="29"/>
    </row>
    <row r="669" spans="2:2" x14ac:dyDescent="0.3">
      <c r="B669" s="29"/>
    </row>
    <row r="670" spans="2:2" x14ac:dyDescent="0.3">
      <c r="B670" s="29"/>
    </row>
    <row r="671" spans="2:2" x14ac:dyDescent="0.3">
      <c r="B671" s="29"/>
    </row>
    <row r="672" spans="2:2" x14ac:dyDescent="0.3">
      <c r="B672" s="29"/>
    </row>
    <row r="673" spans="2:2" x14ac:dyDescent="0.3">
      <c r="B673" s="29"/>
    </row>
    <row r="674" spans="2:2" x14ac:dyDescent="0.3">
      <c r="B674" s="29"/>
    </row>
    <row r="675" spans="2:2" x14ac:dyDescent="0.3">
      <c r="B675" s="29"/>
    </row>
    <row r="676" spans="2:2" x14ac:dyDescent="0.3">
      <c r="B676" s="29"/>
    </row>
    <row r="677" spans="2:2" x14ac:dyDescent="0.3">
      <c r="B677" s="29"/>
    </row>
    <row r="678" spans="2:2" x14ac:dyDescent="0.3">
      <c r="B678" s="29"/>
    </row>
    <row r="679" spans="2:2" x14ac:dyDescent="0.3">
      <c r="B679" s="29"/>
    </row>
    <row r="680" spans="2:2" x14ac:dyDescent="0.3">
      <c r="B680" s="29"/>
    </row>
    <row r="681" spans="2:2" x14ac:dyDescent="0.3">
      <c r="B681" s="29"/>
    </row>
    <row r="682" spans="2:2" x14ac:dyDescent="0.3">
      <c r="B682" s="29"/>
    </row>
    <row r="683" spans="2:2" x14ac:dyDescent="0.3">
      <c r="B683" s="29"/>
    </row>
    <row r="684" spans="2:2" x14ac:dyDescent="0.3">
      <c r="B684" s="29"/>
    </row>
    <row r="685" spans="2:2" x14ac:dyDescent="0.3">
      <c r="B685" s="29"/>
    </row>
    <row r="686" spans="2:2" x14ac:dyDescent="0.3">
      <c r="B686" s="29"/>
    </row>
    <row r="687" spans="2:2" x14ac:dyDescent="0.3">
      <c r="B687" s="29"/>
    </row>
    <row r="688" spans="2:2" x14ac:dyDescent="0.3">
      <c r="B688" s="29"/>
    </row>
    <row r="689" spans="2:2" x14ac:dyDescent="0.3">
      <c r="B689" s="29"/>
    </row>
    <row r="690" spans="2:2" x14ac:dyDescent="0.3">
      <c r="B690" s="29"/>
    </row>
    <row r="691" spans="2:2" x14ac:dyDescent="0.3">
      <c r="B691" s="29"/>
    </row>
    <row r="692" spans="2:2" x14ac:dyDescent="0.3">
      <c r="B692" s="29"/>
    </row>
    <row r="693" spans="2:2" x14ac:dyDescent="0.3">
      <c r="B693" s="29"/>
    </row>
    <row r="694" spans="2:2" x14ac:dyDescent="0.3">
      <c r="B694" s="29"/>
    </row>
    <row r="695" spans="2:2" x14ac:dyDescent="0.3">
      <c r="B695" s="29"/>
    </row>
    <row r="696" spans="2:2" x14ac:dyDescent="0.3">
      <c r="B696" s="29"/>
    </row>
    <row r="697" spans="2:2" x14ac:dyDescent="0.3">
      <c r="B697" s="29"/>
    </row>
    <row r="698" spans="2:2" x14ac:dyDescent="0.3">
      <c r="B698" s="29"/>
    </row>
    <row r="699" spans="2:2" x14ac:dyDescent="0.3">
      <c r="B699" s="29"/>
    </row>
    <row r="700" spans="2:2" x14ac:dyDescent="0.3">
      <c r="B700" s="29"/>
    </row>
    <row r="701" spans="2:2" x14ac:dyDescent="0.3">
      <c r="B701" s="29"/>
    </row>
    <row r="702" spans="2:2" x14ac:dyDescent="0.3">
      <c r="B702" s="29"/>
    </row>
    <row r="703" spans="2:2" x14ac:dyDescent="0.3">
      <c r="B703" s="29"/>
    </row>
    <row r="704" spans="2:2" x14ac:dyDescent="0.3">
      <c r="B704" s="29"/>
    </row>
    <row r="705" spans="2:2" x14ac:dyDescent="0.3">
      <c r="B705" s="29"/>
    </row>
    <row r="706" spans="2:2" x14ac:dyDescent="0.3">
      <c r="B706" s="29"/>
    </row>
    <row r="707" spans="2:2" x14ac:dyDescent="0.3">
      <c r="B707" s="29"/>
    </row>
    <row r="708" spans="2:2" x14ac:dyDescent="0.3">
      <c r="B708" s="29"/>
    </row>
    <row r="709" spans="2:2" x14ac:dyDescent="0.3">
      <c r="B709" s="29"/>
    </row>
    <row r="710" spans="2:2" x14ac:dyDescent="0.3">
      <c r="B710" s="29"/>
    </row>
    <row r="711" spans="2:2" x14ac:dyDescent="0.3">
      <c r="B711" s="29"/>
    </row>
    <row r="712" spans="2:2" x14ac:dyDescent="0.3">
      <c r="B712" s="29"/>
    </row>
    <row r="713" spans="2:2" x14ac:dyDescent="0.3">
      <c r="B713" s="29"/>
    </row>
    <row r="714" spans="2:2" x14ac:dyDescent="0.3">
      <c r="B714" s="29"/>
    </row>
    <row r="715" spans="2:2" x14ac:dyDescent="0.3">
      <c r="B715" s="29"/>
    </row>
    <row r="716" spans="2:2" x14ac:dyDescent="0.3">
      <c r="B716" s="29"/>
    </row>
    <row r="717" spans="2:2" x14ac:dyDescent="0.3">
      <c r="B717" s="29"/>
    </row>
    <row r="718" spans="2:2" x14ac:dyDescent="0.3">
      <c r="B718" s="29"/>
    </row>
    <row r="719" spans="2:2" x14ac:dyDescent="0.3">
      <c r="B719" s="29"/>
    </row>
    <row r="720" spans="2:2" x14ac:dyDescent="0.3">
      <c r="B720" s="29"/>
    </row>
    <row r="721" spans="2:2" x14ac:dyDescent="0.3">
      <c r="B721" s="29"/>
    </row>
    <row r="722" spans="2:2" x14ac:dyDescent="0.3">
      <c r="B722" s="29"/>
    </row>
    <row r="723" spans="2:2" x14ac:dyDescent="0.3">
      <c r="B723" s="29"/>
    </row>
    <row r="724" spans="2:2" x14ac:dyDescent="0.3">
      <c r="B724" s="29"/>
    </row>
    <row r="725" spans="2:2" x14ac:dyDescent="0.3">
      <c r="B725" s="29"/>
    </row>
    <row r="726" spans="2:2" x14ac:dyDescent="0.3">
      <c r="B726" s="29"/>
    </row>
    <row r="727" spans="2:2" x14ac:dyDescent="0.3">
      <c r="B727" s="29"/>
    </row>
    <row r="728" spans="2:2" x14ac:dyDescent="0.3">
      <c r="B728" s="29"/>
    </row>
    <row r="729" spans="2:2" x14ac:dyDescent="0.3">
      <c r="B729" s="29"/>
    </row>
    <row r="730" spans="2:2" x14ac:dyDescent="0.3">
      <c r="B730" s="29"/>
    </row>
    <row r="731" spans="2:2" x14ac:dyDescent="0.3">
      <c r="B731" s="29"/>
    </row>
    <row r="732" spans="2:2" x14ac:dyDescent="0.3">
      <c r="B732" s="29"/>
    </row>
    <row r="733" spans="2:2" x14ac:dyDescent="0.3">
      <c r="B733" s="29"/>
    </row>
    <row r="734" spans="2:2" x14ac:dyDescent="0.3">
      <c r="B734" s="29"/>
    </row>
    <row r="735" spans="2:2" x14ac:dyDescent="0.3">
      <c r="B735" s="29"/>
    </row>
    <row r="736" spans="2:2" x14ac:dyDescent="0.3">
      <c r="B736" s="29"/>
    </row>
    <row r="737" spans="2:2" x14ac:dyDescent="0.3">
      <c r="B737" s="29"/>
    </row>
    <row r="738" spans="2:2" x14ac:dyDescent="0.3">
      <c r="B738" s="29"/>
    </row>
    <row r="739" spans="2:2" x14ac:dyDescent="0.3">
      <c r="B739" s="29"/>
    </row>
    <row r="740" spans="2:2" x14ac:dyDescent="0.3">
      <c r="B740" s="29"/>
    </row>
    <row r="741" spans="2:2" x14ac:dyDescent="0.3">
      <c r="B741" s="29"/>
    </row>
    <row r="742" spans="2:2" x14ac:dyDescent="0.3">
      <c r="B742" s="29"/>
    </row>
    <row r="743" spans="2:2" x14ac:dyDescent="0.3">
      <c r="B743" s="29"/>
    </row>
    <row r="744" spans="2:2" x14ac:dyDescent="0.3">
      <c r="B744" s="29"/>
    </row>
    <row r="745" spans="2:2" x14ac:dyDescent="0.3">
      <c r="B745" s="29"/>
    </row>
    <row r="746" spans="2:2" x14ac:dyDescent="0.3">
      <c r="B746" s="29"/>
    </row>
    <row r="747" spans="2:2" x14ac:dyDescent="0.3">
      <c r="B747" s="29"/>
    </row>
    <row r="748" spans="2:2" x14ac:dyDescent="0.3">
      <c r="B748" s="29"/>
    </row>
    <row r="749" spans="2:2" x14ac:dyDescent="0.3">
      <c r="B749" s="29"/>
    </row>
    <row r="750" spans="2:2" x14ac:dyDescent="0.3">
      <c r="B750" s="29"/>
    </row>
    <row r="751" spans="2:2" x14ac:dyDescent="0.3">
      <c r="B751" s="29"/>
    </row>
    <row r="752" spans="2:2" x14ac:dyDescent="0.3">
      <c r="B752" s="29"/>
    </row>
    <row r="753" spans="2:2" x14ac:dyDescent="0.3">
      <c r="B753" s="29"/>
    </row>
    <row r="754" spans="2:2" x14ac:dyDescent="0.3">
      <c r="B754" s="29"/>
    </row>
    <row r="755" spans="2:2" x14ac:dyDescent="0.3">
      <c r="B755" s="29"/>
    </row>
    <row r="756" spans="2:2" x14ac:dyDescent="0.3">
      <c r="B756" s="29"/>
    </row>
    <row r="757" spans="2:2" x14ac:dyDescent="0.3">
      <c r="B757" s="29"/>
    </row>
    <row r="758" spans="2:2" x14ac:dyDescent="0.3">
      <c r="B758" s="29"/>
    </row>
    <row r="759" spans="2:2" x14ac:dyDescent="0.3">
      <c r="B759" s="29"/>
    </row>
    <row r="760" spans="2:2" x14ac:dyDescent="0.3">
      <c r="B760" s="29"/>
    </row>
    <row r="761" spans="2:2" x14ac:dyDescent="0.3">
      <c r="B761" s="29"/>
    </row>
    <row r="762" spans="2:2" x14ac:dyDescent="0.3">
      <c r="B762" s="29"/>
    </row>
    <row r="763" spans="2:2" x14ac:dyDescent="0.3">
      <c r="B763" s="29"/>
    </row>
    <row r="764" spans="2:2" x14ac:dyDescent="0.3">
      <c r="B764" s="29"/>
    </row>
    <row r="765" spans="2:2" x14ac:dyDescent="0.3">
      <c r="B765" s="29"/>
    </row>
    <row r="766" spans="2:2" x14ac:dyDescent="0.3">
      <c r="B766" s="29"/>
    </row>
    <row r="767" spans="2:2" x14ac:dyDescent="0.3">
      <c r="B767" s="29"/>
    </row>
    <row r="768" spans="2:2" x14ac:dyDescent="0.3">
      <c r="B768" s="29"/>
    </row>
    <row r="769" spans="2:2" x14ac:dyDescent="0.3">
      <c r="B769" s="29"/>
    </row>
    <row r="770" spans="2:2" x14ac:dyDescent="0.3">
      <c r="B770" s="29"/>
    </row>
    <row r="771" spans="2:2" x14ac:dyDescent="0.3">
      <c r="B771" s="29"/>
    </row>
    <row r="772" spans="2:2" x14ac:dyDescent="0.3">
      <c r="B772" s="29"/>
    </row>
    <row r="773" spans="2:2" x14ac:dyDescent="0.3">
      <c r="B773" s="29"/>
    </row>
    <row r="774" spans="2:2" x14ac:dyDescent="0.3">
      <c r="B774" s="29"/>
    </row>
    <row r="775" spans="2:2" x14ac:dyDescent="0.3">
      <c r="B775" s="29"/>
    </row>
    <row r="776" spans="2:2" x14ac:dyDescent="0.3">
      <c r="B776" s="29"/>
    </row>
    <row r="777" spans="2:2" x14ac:dyDescent="0.3">
      <c r="B777" s="29"/>
    </row>
    <row r="778" spans="2:2" x14ac:dyDescent="0.3">
      <c r="B778" s="29"/>
    </row>
    <row r="779" spans="2:2" x14ac:dyDescent="0.3">
      <c r="B779" s="29"/>
    </row>
    <row r="780" spans="2:2" x14ac:dyDescent="0.3">
      <c r="B780" s="29"/>
    </row>
    <row r="781" spans="2:2" x14ac:dyDescent="0.3">
      <c r="B781" s="29"/>
    </row>
    <row r="782" spans="2:2" x14ac:dyDescent="0.3">
      <c r="B782" s="29"/>
    </row>
    <row r="783" spans="2:2" x14ac:dyDescent="0.3">
      <c r="B783" s="29"/>
    </row>
    <row r="784" spans="2:2" x14ac:dyDescent="0.3">
      <c r="B784" s="29"/>
    </row>
    <row r="785" spans="2:2" x14ac:dyDescent="0.3">
      <c r="B785" s="29"/>
    </row>
    <row r="786" spans="2:2" x14ac:dyDescent="0.3">
      <c r="B786" s="29"/>
    </row>
    <row r="787" spans="2:2" x14ac:dyDescent="0.3">
      <c r="B787" s="29"/>
    </row>
    <row r="788" spans="2:2" x14ac:dyDescent="0.3">
      <c r="B788" s="29"/>
    </row>
    <row r="789" spans="2:2" x14ac:dyDescent="0.3">
      <c r="B789" s="29"/>
    </row>
    <row r="790" spans="2:2" x14ac:dyDescent="0.3">
      <c r="B790" s="29"/>
    </row>
    <row r="791" spans="2:2" x14ac:dyDescent="0.3">
      <c r="B791" s="29"/>
    </row>
    <row r="792" spans="2:2" x14ac:dyDescent="0.3">
      <c r="B792" s="29"/>
    </row>
    <row r="793" spans="2:2" x14ac:dyDescent="0.3">
      <c r="B793" s="29"/>
    </row>
    <row r="794" spans="2:2" x14ac:dyDescent="0.3">
      <c r="B794" s="29"/>
    </row>
    <row r="795" spans="2:2" x14ac:dyDescent="0.3">
      <c r="B795" s="29"/>
    </row>
    <row r="796" spans="2:2" x14ac:dyDescent="0.3">
      <c r="B796" s="29"/>
    </row>
    <row r="797" spans="2:2" x14ac:dyDescent="0.3">
      <c r="B797" s="29"/>
    </row>
    <row r="798" spans="2:2" x14ac:dyDescent="0.3">
      <c r="B798" s="29"/>
    </row>
    <row r="799" spans="2:2" x14ac:dyDescent="0.3">
      <c r="B799" s="29"/>
    </row>
    <row r="800" spans="2:2" x14ac:dyDescent="0.3">
      <c r="B800" s="29"/>
    </row>
    <row r="801" spans="2:2" x14ac:dyDescent="0.3">
      <c r="B801" s="29"/>
    </row>
    <row r="802" spans="2:2" x14ac:dyDescent="0.3">
      <c r="B802" s="29"/>
    </row>
    <row r="803" spans="2:2" x14ac:dyDescent="0.3">
      <c r="B803" s="29"/>
    </row>
    <row r="804" spans="2:2" x14ac:dyDescent="0.3">
      <c r="B804" s="29"/>
    </row>
    <row r="805" spans="2:2" x14ac:dyDescent="0.3">
      <c r="B805" s="29"/>
    </row>
    <row r="806" spans="2:2" x14ac:dyDescent="0.3">
      <c r="B806" s="29"/>
    </row>
    <row r="807" spans="2:2" x14ac:dyDescent="0.3">
      <c r="B807" s="29"/>
    </row>
    <row r="808" spans="2:2" x14ac:dyDescent="0.3">
      <c r="B808" s="29"/>
    </row>
    <row r="809" spans="2:2" x14ac:dyDescent="0.3">
      <c r="B809" s="29"/>
    </row>
    <row r="810" spans="2:2" x14ac:dyDescent="0.3">
      <c r="B810" s="29"/>
    </row>
    <row r="811" spans="2:2" x14ac:dyDescent="0.3">
      <c r="B811" s="29"/>
    </row>
    <row r="812" spans="2:2" x14ac:dyDescent="0.3">
      <c r="B812" s="29"/>
    </row>
    <row r="813" spans="2:2" x14ac:dyDescent="0.3">
      <c r="B813" s="29"/>
    </row>
    <row r="814" spans="2:2" x14ac:dyDescent="0.3">
      <c r="B814" s="29"/>
    </row>
    <row r="815" spans="2:2" x14ac:dyDescent="0.3">
      <c r="B815" s="29"/>
    </row>
    <row r="816" spans="2:2" x14ac:dyDescent="0.3">
      <c r="B816" s="29"/>
    </row>
    <row r="817" spans="2:2" x14ac:dyDescent="0.3">
      <c r="B817" s="29"/>
    </row>
    <row r="818" spans="2:2" x14ac:dyDescent="0.3">
      <c r="B818" s="29"/>
    </row>
    <row r="819" spans="2:2" x14ac:dyDescent="0.3">
      <c r="B819" s="29"/>
    </row>
    <row r="820" spans="2:2" x14ac:dyDescent="0.3">
      <c r="B820" s="29"/>
    </row>
    <row r="821" spans="2:2" x14ac:dyDescent="0.3">
      <c r="B821" s="29"/>
    </row>
    <row r="822" spans="2:2" x14ac:dyDescent="0.3">
      <c r="B822" s="29"/>
    </row>
    <row r="823" spans="2:2" x14ac:dyDescent="0.3">
      <c r="B823" s="29"/>
    </row>
    <row r="824" spans="2:2" x14ac:dyDescent="0.3">
      <c r="B824" s="29"/>
    </row>
    <row r="825" spans="2:2" x14ac:dyDescent="0.3">
      <c r="B825" s="29"/>
    </row>
    <row r="826" spans="2:2" x14ac:dyDescent="0.3">
      <c r="B826" s="29"/>
    </row>
    <row r="827" spans="2:2" x14ac:dyDescent="0.3">
      <c r="B827" s="29"/>
    </row>
    <row r="828" spans="2:2" x14ac:dyDescent="0.3">
      <c r="B828" s="29"/>
    </row>
    <row r="829" spans="2:2" x14ac:dyDescent="0.3">
      <c r="B829" s="29"/>
    </row>
    <row r="830" spans="2:2" x14ac:dyDescent="0.3">
      <c r="B830" s="29"/>
    </row>
    <row r="831" spans="2:2" x14ac:dyDescent="0.3">
      <c r="B831" s="29"/>
    </row>
    <row r="832" spans="2:2" x14ac:dyDescent="0.3">
      <c r="B832" s="29"/>
    </row>
    <row r="833" spans="2:2" x14ac:dyDescent="0.3">
      <c r="B833" s="29"/>
    </row>
    <row r="834" spans="2:2" x14ac:dyDescent="0.3">
      <c r="B834" s="29"/>
    </row>
    <row r="835" spans="2:2" x14ac:dyDescent="0.3">
      <c r="B835" s="29"/>
    </row>
    <row r="836" spans="2:2" x14ac:dyDescent="0.3">
      <c r="B836" s="29"/>
    </row>
    <row r="837" spans="2:2" x14ac:dyDescent="0.3">
      <c r="B837" s="29"/>
    </row>
    <row r="838" spans="2:2" x14ac:dyDescent="0.3">
      <c r="B838" s="29"/>
    </row>
    <row r="839" spans="2:2" x14ac:dyDescent="0.3">
      <c r="B839" s="29"/>
    </row>
    <row r="840" spans="2:2" x14ac:dyDescent="0.3">
      <c r="B840" s="29"/>
    </row>
    <row r="841" spans="2:2" x14ac:dyDescent="0.3">
      <c r="B841" s="29"/>
    </row>
    <row r="842" spans="2:2" x14ac:dyDescent="0.3">
      <c r="B842" s="29"/>
    </row>
    <row r="843" spans="2:2" x14ac:dyDescent="0.3">
      <c r="B843" s="29"/>
    </row>
    <row r="844" spans="2:2" x14ac:dyDescent="0.3">
      <c r="B844" s="29"/>
    </row>
    <row r="845" spans="2:2" x14ac:dyDescent="0.3">
      <c r="B845" s="29"/>
    </row>
    <row r="846" spans="2:2" x14ac:dyDescent="0.3">
      <c r="B846" s="29"/>
    </row>
    <row r="847" spans="2:2" x14ac:dyDescent="0.3">
      <c r="B847" s="29"/>
    </row>
    <row r="848" spans="2:2" x14ac:dyDescent="0.3">
      <c r="B848" s="29"/>
    </row>
    <row r="849" spans="2:2" x14ac:dyDescent="0.3">
      <c r="B849" s="29"/>
    </row>
    <row r="850" spans="2:2" x14ac:dyDescent="0.3">
      <c r="B850" s="29"/>
    </row>
    <row r="851" spans="2:2" x14ac:dyDescent="0.3">
      <c r="B851" s="29"/>
    </row>
    <row r="852" spans="2:2" x14ac:dyDescent="0.3">
      <c r="B852" s="29"/>
    </row>
    <row r="853" spans="2:2" x14ac:dyDescent="0.3">
      <c r="B853" s="29"/>
    </row>
    <row r="854" spans="2:2" x14ac:dyDescent="0.3">
      <c r="B854" s="29"/>
    </row>
    <row r="855" spans="2:2" x14ac:dyDescent="0.3">
      <c r="B855" s="29"/>
    </row>
    <row r="856" spans="2:2" x14ac:dyDescent="0.3">
      <c r="B856" s="29"/>
    </row>
    <row r="857" spans="2:2" x14ac:dyDescent="0.3">
      <c r="B857" s="29"/>
    </row>
    <row r="858" spans="2:2" x14ac:dyDescent="0.3">
      <c r="B858" s="29"/>
    </row>
    <row r="859" spans="2:2" x14ac:dyDescent="0.3">
      <c r="B859" s="29"/>
    </row>
    <row r="860" spans="2:2" x14ac:dyDescent="0.3">
      <c r="B860" s="29"/>
    </row>
    <row r="861" spans="2:2" x14ac:dyDescent="0.3">
      <c r="B861" s="29"/>
    </row>
    <row r="862" spans="2:2" x14ac:dyDescent="0.3">
      <c r="B862" s="29"/>
    </row>
    <row r="863" spans="2:2" x14ac:dyDescent="0.3">
      <c r="B863" s="29"/>
    </row>
    <row r="864" spans="2:2" x14ac:dyDescent="0.3">
      <c r="B864" s="29"/>
    </row>
    <row r="865" spans="2:2" x14ac:dyDescent="0.3">
      <c r="B865" s="29"/>
    </row>
    <row r="866" spans="2:2" x14ac:dyDescent="0.3">
      <c r="B866" s="29"/>
    </row>
    <row r="867" spans="2:2" x14ac:dyDescent="0.3">
      <c r="B867" s="29"/>
    </row>
    <row r="868" spans="2:2" x14ac:dyDescent="0.3">
      <c r="B868" s="29"/>
    </row>
    <row r="869" spans="2:2" x14ac:dyDescent="0.3">
      <c r="B869" s="29"/>
    </row>
    <row r="870" spans="2:2" x14ac:dyDescent="0.3">
      <c r="B870" s="29"/>
    </row>
    <row r="871" spans="2:2" x14ac:dyDescent="0.3">
      <c r="B871" s="29"/>
    </row>
    <row r="872" spans="2:2" x14ac:dyDescent="0.3">
      <c r="B872" s="29"/>
    </row>
    <row r="873" spans="2:2" x14ac:dyDescent="0.3">
      <c r="B873" s="29"/>
    </row>
    <row r="874" spans="2:2" x14ac:dyDescent="0.3">
      <c r="B874" s="29"/>
    </row>
    <row r="875" spans="2:2" x14ac:dyDescent="0.3">
      <c r="B875" s="29"/>
    </row>
    <row r="876" spans="2:2" x14ac:dyDescent="0.3">
      <c r="B876" s="29"/>
    </row>
    <row r="877" spans="2:2" x14ac:dyDescent="0.3">
      <c r="B877" s="29"/>
    </row>
    <row r="878" spans="2:2" x14ac:dyDescent="0.3">
      <c r="B878" s="29"/>
    </row>
    <row r="879" spans="2:2" x14ac:dyDescent="0.3">
      <c r="B879" s="29"/>
    </row>
    <row r="880" spans="2:2" x14ac:dyDescent="0.3">
      <c r="B880" s="29"/>
    </row>
    <row r="881" spans="2:2" x14ac:dyDescent="0.3">
      <c r="B881" s="29"/>
    </row>
    <row r="882" spans="2:2" x14ac:dyDescent="0.3">
      <c r="B882" s="29"/>
    </row>
    <row r="883" spans="2:2" x14ac:dyDescent="0.3">
      <c r="B883" s="29"/>
    </row>
    <row r="884" spans="2:2" x14ac:dyDescent="0.3">
      <c r="B884" s="29"/>
    </row>
    <row r="885" spans="2:2" x14ac:dyDescent="0.3">
      <c r="B885" s="29"/>
    </row>
    <row r="886" spans="2:2" x14ac:dyDescent="0.3">
      <c r="B886" s="29"/>
    </row>
    <row r="887" spans="2:2" x14ac:dyDescent="0.3">
      <c r="B887" s="29"/>
    </row>
    <row r="888" spans="2:2" x14ac:dyDescent="0.3">
      <c r="B888" s="29"/>
    </row>
    <row r="889" spans="2:2" x14ac:dyDescent="0.3">
      <c r="B889" s="29"/>
    </row>
    <row r="890" spans="2:2" x14ac:dyDescent="0.3">
      <c r="B890" s="29"/>
    </row>
    <row r="891" spans="2:2" x14ac:dyDescent="0.3">
      <c r="B891" s="29"/>
    </row>
    <row r="892" spans="2:2" x14ac:dyDescent="0.3">
      <c r="B892" s="29"/>
    </row>
    <row r="893" spans="2:2" x14ac:dyDescent="0.3">
      <c r="B893" s="29"/>
    </row>
    <row r="894" spans="2:2" x14ac:dyDescent="0.3">
      <c r="B894" s="29"/>
    </row>
    <row r="895" spans="2:2" x14ac:dyDescent="0.3">
      <c r="B895" s="29"/>
    </row>
    <row r="896" spans="2:2" x14ac:dyDescent="0.3">
      <c r="B896" s="29"/>
    </row>
    <row r="897" spans="2:2" x14ac:dyDescent="0.3">
      <c r="B897" s="29"/>
    </row>
    <row r="898" spans="2:2" x14ac:dyDescent="0.3">
      <c r="B898" s="29"/>
    </row>
    <row r="899" spans="2:2" x14ac:dyDescent="0.3">
      <c r="B899" s="29"/>
    </row>
    <row r="900" spans="2:2" x14ac:dyDescent="0.3">
      <c r="B900" s="29"/>
    </row>
    <row r="901" spans="2:2" x14ac:dyDescent="0.3">
      <c r="B901" s="29"/>
    </row>
    <row r="902" spans="2:2" x14ac:dyDescent="0.3">
      <c r="B902" s="29"/>
    </row>
    <row r="903" spans="2:2" x14ac:dyDescent="0.3">
      <c r="B903" s="29"/>
    </row>
    <row r="904" spans="2:2" x14ac:dyDescent="0.3">
      <c r="B904" s="29"/>
    </row>
    <row r="905" spans="2:2" x14ac:dyDescent="0.3">
      <c r="B905" s="29"/>
    </row>
    <row r="906" spans="2:2" x14ac:dyDescent="0.3">
      <c r="B906" s="29"/>
    </row>
    <row r="907" spans="2:2" x14ac:dyDescent="0.3">
      <c r="B907" s="29"/>
    </row>
    <row r="908" spans="2:2" x14ac:dyDescent="0.3">
      <c r="B908" s="29"/>
    </row>
    <row r="909" spans="2:2" x14ac:dyDescent="0.3">
      <c r="B909" s="29"/>
    </row>
    <row r="910" spans="2:2" x14ac:dyDescent="0.3">
      <c r="B910" s="29"/>
    </row>
    <row r="911" spans="2:2" x14ac:dyDescent="0.3">
      <c r="B911" s="29"/>
    </row>
    <row r="912" spans="2:2" x14ac:dyDescent="0.3">
      <c r="B912" s="29"/>
    </row>
    <row r="913" spans="2:2" x14ac:dyDescent="0.3">
      <c r="B913" s="29"/>
    </row>
    <row r="914" spans="2:2" x14ac:dyDescent="0.3">
      <c r="B914" s="29"/>
    </row>
    <row r="915" spans="2:2" x14ac:dyDescent="0.3">
      <c r="B915" s="29"/>
    </row>
    <row r="916" spans="2:2" x14ac:dyDescent="0.3">
      <c r="B916" s="29"/>
    </row>
    <row r="917" spans="2:2" x14ac:dyDescent="0.3">
      <c r="B917" s="29"/>
    </row>
    <row r="918" spans="2:2" x14ac:dyDescent="0.3">
      <c r="B918" s="29"/>
    </row>
    <row r="919" spans="2:2" x14ac:dyDescent="0.3">
      <c r="B919" s="29"/>
    </row>
    <row r="920" spans="2:2" x14ac:dyDescent="0.3">
      <c r="B920" s="29"/>
    </row>
    <row r="921" spans="2:2" x14ac:dyDescent="0.3">
      <c r="B921" s="29"/>
    </row>
    <row r="922" spans="2:2" x14ac:dyDescent="0.3">
      <c r="B922" s="29"/>
    </row>
    <row r="923" spans="2:2" x14ac:dyDescent="0.3">
      <c r="B923" s="29"/>
    </row>
    <row r="924" spans="2:2" x14ac:dyDescent="0.3">
      <c r="B924" s="29"/>
    </row>
    <row r="925" spans="2:2" x14ac:dyDescent="0.3">
      <c r="B925" s="29"/>
    </row>
    <row r="926" spans="2:2" x14ac:dyDescent="0.3">
      <c r="B926" s="29"/>
    </row>
    <row r="927" spans="2:2" x14ac:dyDescent="0.3">
      <c r="B927" s="29"/>
    </row>
    <row r="928" spans="2:2" x14ac:dyDescent="0.3">
      <c r="B928" s="29"/>
    </row>
    <row r="929" spans="2:2" x14ac:dyDescent="0.3">
      <c r="B929" s="29"/>
    </row>
    <row r="930" spans="2:2" x14ac:dyDescent="0.3">
      <c r="B930" s="29"/>
    </row>
    <row r="931" spans="2:2" x14ac:dyDescent="0.3">
      <c r="B931" s="29"/>
    </row>
    <row r="932" spans="2:2" x14ac:dyDescent="0.3">
      <c r="B932" s="29"/>
    </row>
    <row r="933" spans="2:2" x14ac:dyDescent="0.3">
      <c r="B933" s="29"/>
    </row>
    <row r="934" spans="2:2" x14ac:dyDescent="0.3">
      <c r="B934" s="29"/>
    </row>
    <row r="935" spans="2:2" x14ac:dyDescent="0.3">
      <c r="B935" s="29"/>
    </row>
    <row r="936" spans="2:2" x14ac:dyDescent="0.3">
      <c r="B936" s="29"/>
    </row>
    <row r="937" spans="2:2" x14ac:dyDescent="0.3">
      <c r="B937" s="29"/>
    </row>
    <row r="938" spans="2:2" x14ac:dyDescent="0.3">
      <c r="B938" s="29"/>
    </row>
    <row r="939" spans="2:2" x14ac:dyDescent="0.3">
      <c r="B939" s="29"/>
    </row>
    <row r="940" spans="2:2" x14ac:dyDescent="0.3">
      <c r="B940" s="29"/>
    </row>
    <row r="941" spans="2:2" x14ac:dyDescent="0.3">
      <c r="B941" s="29"/>
    </row>
    <row r="942" spans="2:2" x14ac:dyDescent="0.3">
      <c r="B942" s="29"/>
    </row>
    <row r="943" spans="2:2" x14ac:dyDescent="0.3">
      <c r="B943" s="29"/>
    </row>
    <row r="944" spans="2:2" x14ac:dyDescent="0.3">
      <c r="B944" s="29"/>
    </row>
    <row r="945" spans="2:2" x14ac:dyDescent="0.3">
      <c r="B945" s="29"/>
    </row>
    <row r="946" spans="2:2" x14ac:dyDescent="0.3">
      <c r="B946" s="29"/>
    </row>
    <row r="947" spans="2:2" x14ac:dyDescent="0.3">
      <c r="B947" s="29"/>
    </row>
    <row r="948" spans="2:2" x14ac:dyDescent="0.3">
      <c r="B948" s="29"/>
    </row>
    <row r="949" spans="2:2" x14ac:dyDescent="0.3">
      <c r="B949" s="29"/>
    </row>
    <row r="950" spans="2:2" x14ac:dyDescent="0.3">
      <c r="B950" s="29"/>
    </row>
    <row r="951" spans="2:2" x14ac:dyDescent="0.3">
      <c r="B951" s="29"/>
    </row>
    <row r="952" spans="2:2" x14ac:dyDescent="0.3">
      <c r="B952" s="29"/>
    </row>
    <row r="953" spans="2:2" x14ac:dyDescent="0.3">
      <c r="B953" s="29"/>
    </row>
    <row r="954" spans="2:2" x14ac:dyDescent="0.3">
      <c r="B954" s="29"/>
    </row>
    <row r="955" spans="2:2" x14ac:dyDescent="0.3">
      <c r="B955" s="29"/>
    </row>
    <row r="956" spans="2:2" x14ac:dyDescent="0.3">
      <c r="B956" s="29"/>
    </row>
    <row r="957" spans="2:2" x14ac:dyDescent="0.3">
      <c r="B957" s="29"/>
    </row>
    <row r="958" spans="2:2" x14ac:dyDescent="0.3">
      <c r="B958" s="29"/>
    </row>
    <row r="959" spans="2:2" x14ac:dyDescent="0.3">
      <c r="B959" s="29"/>
    </row>
    <row r="960" spans="2:2" x14ac:dyDescent="0.3">
      <c r="B960" s="29"/>
    </row>
    <row r="961" spans="2:2" x14ac:dyDescent="0.3">
      <c r="B961" s="29"/>
    </row>
    <row r="962" spans="2:2" x14ac:dyDescent="0.3">
      <c r="B962" s="29"/>
    </row>
    <row r="963" spans="2:2" x14ac:dyDescent="0.3">
      <c r="B963" s="29"/>
    </row>
    <row r="964" spans="2:2" x14ac:dyDescent="0.3">
      <c r="B964" s="29"/>
    </row>
    <row r="965" spans="2:2" x14ac:dyDescent="0.3">
      <c r="B965" s="29"/>
    </row>
    <row r="966" spans="2:2" x14ac:dyDescent="0.3">
      <c r="B966" s="29"/>
    </row>
    <row r="967" spans="2:2" x14ac:dyDescent="0.3">
      <c r="B967" s="29"/>
    </row>
    <row r="968" spans="2:2" x14ac:dyDescent="0.3">
      <c r="B968" s="29"/>
    </row>
    <row r="969" spans="2:2" x14ac:dyDescent="0.3">
      <c r="B969" s="29"/>
    </row>
    <row r="970" spans="2:2" x14ac:dyDescent="0.3">
      <c r="B970" s="29"/>
    </row>
    <row r="971" spans="2:2" x14ac:dyDescent="0.3">
      <c r="B971" s="29"/>
    </row>
    <row r="972" spans="2:2" x14ac:dyDescent="0.3">
      <c r="B972" s="29"/>
    </row>
    <row r="973" spans="2:2" x14ac:dyDescent="0.3">
      <c r="B973" s="29"/>
    </row>
    <row r="974" spans="2:2" x14ac:dyDescent="0.3">
      <c r="B974" s="29"/>
    </row>
    <row r="975" spans="2:2" x14ac:dyDescent="0.3">
      <c r="B975" s="29"/>
    </row>
    <row r="976" spans="2:2" x14ac:dyDescent="0.3">
      <c r="B976" s="29"/>
    </row>
    <row r="977" spans="2:2" x14ac:dyDescent="0.3">
      <c r="B977" s="29"/>
    </row>
    <row r="978" spans="2:2" x14ac:dyDescent="0.3">
      <c r="B978" s="29"/>
    </row>
    <row r="979" spans="2:2" x14ac:dyDescent="0.3">
      <c r="B979" s="29"/>
    </row>
    <row r="980" spans="2:2" x14ac:dyDescent="0.3">
      <c r="B980" s="29"/>
    </row>
    <row r="981" spans="2:2" x14ac:dyDescent="0.3">
      <c r="B981" s="29"/>
    </row>
    <row r="982" spans="2:2" x14ac:dyDescent="0.3">
      <c r="B982" s="29"/>
    </row>
    <row r="983" spans="2:2" x14ac:dyDescent="0.3">
      <c r="B983" s="29"/>
    </row>
    <row r="984" spans="2:2" x14ac:dyDescent="0.3">
      <c r="B984" s="29"/>
    </row>
    <row r="985" spans="2:2" x14ac:dyDescent="0.3">
      <c r="B985" s="29"/>
    </row>
    <row r="986" spans="2:2" x14ac:dyDescent="0.3">
      <c r="B986" s="29"/>
    </row>
    <row r="987" spans="2:2" x14ac:dyDescent="0.3">
      <c r="B987" s="29"/>
    </row>
    <row r="988" spans="2:2" x14ac:dyDescent="0.3">
      <c r="B988" s="29"/>
    </row>
    <row r="989" spans="2:2" x14ac:dyDescent="0.3">
      <c r="B989" s="29"/>
    </row>
    <row r="990" spans="2:2" x14ac:dyDescent="0.3">
      <c r="B990" s="29"/>
    </row>
    <row r="991" spans="2:2" x14ac:dyDescent="0.3">
      <c r="B991" s="29"/>
    </row>
    <row r="992" spans="2:2" x14ac:dyDescent="0.3">
      <c r="B992" s="29"/>
    </row>
    <row r="993" spans="2:2" x14ac:dyDescent="0.3">
      <c r="B993" s="29"/>
    </row>
    <row r="994" spans="2:2" x14ac:dyDescent="0.3">
      <c r="B994" s="29"/>
    </row>
    <row r="995" spans="2:2" x14ac:dyDescent="0.3">
      <c r="B995" s="29"/>
    </row>
    <row r="996" spans="2:2" x14ac:dyDescent="0.3">
      <c r="B996" s="29"/>
    </row>
    <row r="997" spans="2:2" x14ac:dyDescent="0.3">
      <c r="B997" s="29"/>
    </row>
    <row r="998" spans="2:2" x14ac:dyDescent="0.3">
      <c r="B998" s="29"/>
    </row>
    <row r="999" spans="2:2" x14ac:dyDescent="0.3">
      <c r="B999" s="29"/>
    </row>
    <row r="1000" spans="2:2" x14ac:dyDescent="0.3">
      <c r="B1000" s="29"/>
    </row>
    <row r="1001" spans="2:2" x14ac:dyDescent="0.3">
      <c r="B1001" s="29"/>
    </row>
    <row r="1002" spans="2:2" x14ac:dyDescent="0.3">
      <c r="B1002" s="29"/>
    </row>
    <row r="1003" spans="2:2" x14ac:dyDescent="0.3">
      <c r="B1003" s="29"/>
    </row>
    <row r="1004" spans="2:2" x14ac:dyDescent="0.3">
      <c r="B1004" s="29"/>
    </row>
    <row r="1005" spans="2:2" x14ac:dyDescent="0.3">
      <c r="B1005" s="29"/>
    </row>
    <row r="1006" spans="2:2" x14ac:dyDescent="0.3">
      <c r="B1006" s="29"/>
    </row>
    <row r="1007" spans="2:2" x14ac:dyDescent="0.3">
      <c r="B1007" s="29"/>
    </row>
    <row r="1008" spans="2:2" x14ac:dyDescent="0.3">
      <c r="B1008" s="29"/>
    </row>
    <row r="1009" spans="2:2" x14ac:dyDescent="0.3">
      <c r="B1009" s="29"/>
    </row>
    <row r="1010" spans="2:2" x14ac:dyDescent="0.3">
      <c r="B1010" s="29"/>
    </row>
    <row r="1011" spans="2:2" x14ac:dyDescent="0.3">
      <c r="B1011" s="29"/>
    </row>
    <row r="1012" spans="2:2" x14ac:dyDescent="0.3">
      <c r="B1012" s="29"/>
    </row>
    <row r="1013" spans="2:2" x14ac:dyDescent="0.3">
      <c r="B1013" s="29"/>
    </row>
    <row r="1014" spans="2:2" x14ac:dyDescent="0.3">
      <c r="B1014" s="29"/>
    </row>
    <row r="1015" spans="2:2" x14ac:dyDescent="0.3">
      <c r="B1015" s="29"/>
    </row>
    <row r="1016" spans="2:2" x14ac:dyDescent="0.3">
      <c r="B1016" s="29"/>
    </row>
    <row r="1017" spans="2:2" x14ac:dyDescent="0.3">
      <c r="B1017" s="29"/>
    </row>
    <row r="1018" spans="2:2" x14ac:dyDescent="0.3">
      <c r="B1018" s="29"/>
    </row>
    <row r="1019" spans="2:2" x14ac:dyDescent="0.3">
      <c r="B1019" s="29"/>
    </row>
    <row r="1020" spans="2:2" x14ac:dyDescent="0.3">
      <c r="B1020" s="29"/>
    </row>
    <row r="1021" spans="2:2" x14ac:dyDescent="0.3">
      <c r="B1021" s="29"/>
    </row>
    <row r="1022" spans="2:2" x14ac:dyDescent="0.3">
      <c r="B1022" s="29"/>
    </row>
    <row r="1023" spans="2:2" x14ac:dyDescent="0.3">
      <c r="B1023" s="29"/>
    </row>
    <row r="1024" spans="2:2" x14ac:dyDescent="0.3">
      <c r="B1024" s="29"/>
    </row>
    <row r="1025" spans="2:2" x14ac:dyDescent="0.3">
      <c r="B1025" s="29"/>
    </row>
    <row r="1026" spans="2:2" x14ac:dyDescent="0.3">
      <c r="B1026" s="29"/>
    </row>
    <row r="1027" spans="2:2" x14ac:dyDescent="0.3">
      <c r="B1027" s="29"/>
    </row>
    <row r="1028" spans="2:2" x14ac:dyDescent="0.3">
      <c r="B1028" s="29"/>
    </row>
    <row r="1029" spans="2:2" x14ac:dyDescent="0.3">
      <c r="B1029" s="29"/>
    </row>
    <row r="1030" spans="2:2" x14ac:dyDescent="0.3">
      <c r="B1030" s="29"/>
    </row>
    <row r="1031" spans="2:2" x14ac:dyDescent="0.3">
      <c r="B1031" s="29"/>
    </row>
    <row r="1032" spans="2:2" x14ac:dyDescent="0.3">
      <c r="B1032" s="29"/>
    </row>
    <row r="1033" spans="2:2" x14ac:dyDescent="0.3">
      <c r="B1033" s="29"/>
    </row>
    <row r="1034" spans="2:2" x14ac:dyDescent="0.3">
      <c r="B1034" s="29"/>
    </row>
    <row r="1035" spans="2:2" x14ac:dyDescent="0.3">
      <c r="B1035" s="29"/>
    </row>
    <row r="1036" spans="2:2" x14ac:dyDescent="0.3">
      <c r="B1036" s="29"/>
    </row>
    <row r="1037" spans="2:2" x14ac:dyDescent="0.3">
      <c r="B1037" s="29"/>
    </row>
    <row r="1038" spans="2:2" x14ac:dyDescent="0.3">
      <c r="B1038" s="29"/>
    </row>
    <row r="1039" spans="2:2" x14ac:dyDescent="0.3">
      <c r="B1039" s="29"/>
    </row>
    <row r="1040" spans="2:2" x14ac:dyDescent="0.3">
      <c r="B1040" s="29"/>
    </row>
    <row r="1041" spans="2:2" x14ac:dyDescent="0.3">
      <c r="B1041" s="29"/>
    </row>
    <row r="1042" spans="2:2" x14ac:dyDescent="0.3">
      <c r="B1042" s="29"/>
    </row>
    <row r="1043" spans="2:2" x14ac:dyDescent="0.3">
      <c r="B1043" s="29"/>
    </row>
    <row r="1044" spans="2:2" x14ac:dyDescent="0.3">
      <c r="B1044" s="29"/>
    </row>
    <row r="1045" spans="2:2" x14ac:dyDescent="0.3">
      <c r="B1045" s="29"/>
    </row>
    <row r="1046" spans="2:2" x14ac:dyDescent="0.3">
      <c r="B1046" s="29"/>
    </row>
    <row r="1047" spans="2:2" x14ac:dyDescent="0.3">
      <c r="B1047" s="29"/>
    </row>
    <row r="1048" spans="2:2" x14ac:dyDescent="0.3">
      <c r="B1048" s="29"/>
    </row>
    <row r="1049" spans="2:2" x14ac:dyDescent="0.3">
      <c r="B1049" s="29"/>
    </row>
    <row r="1050" spans="2:2" x14ac:dyDescent="0.3">
      <c r="B1050" s="29"/>
    </row>
    <row r="1051" spans="2:2" x14ac:dyDescent="0.3">
      <c r="B1051" s="29"/>
    </row>
    <row r="1052" spans="2:2" x14ac:dyDescent="0.3">
      <c r="B1052" s="29"/>
    </row>
    <row r="1053" spans="2:2" x14ac:dyDescent="0.3">
      <c r="B1053" s="29"/>
    </row>
    <row r="1054" spans="2:2" x14ac:dyDescent="0.3">
      <c r="B1054" s="29"/>
    </row>
    <row r="1055" spans="2:2" x14ac:dyDescent="0.3">
      <c r="B1055" s="29"/>
    </row>
    <row r="1056" spans="2:2" x14ac:dyDescent="0.3">
      <c r="B1056" s="29"/>
    </row>
    <row r="1057" spans="2:2" x14ac:dyDescent="0.3">
      <c r="B1057" s="29"/>
    </row>
    <row r="1058" spans="2:2" x14ac:dyDescent="0.3">
      <c r="B1058" s="29"/>
    </row>
    <row r="1059" spans="2:2" x14ac:dyDescent="0.3">
      <c r="B1059" s="29"/>
    </row>
    <row r="1060" spans="2:2" x14ac:dyDescent="0.3">
      <c r="B1060" s="29"/>
    </row>
    <row r="1061" spans="2:2" x14ac:dyDescent="0.3">
      <c r="B1061" s="29"/>
    </row>
    <row r="1062" spans="2:2" x14ac:dyDescent="0.3">
      <c r="B1062" s="29"/>
    </row>
    <row r="1063" spans="2:2" x14ac:dyDescent="0.3">
      <c r="B1063" s="29"/>
    </row>
    <row r="1064" spans="2:2" x14ac:dyDescent="0.3">
      <c r="B1064" s="29"/>
    </row>
    <row r="1065" spans="2:2" x14ac:dyDescent="0.3">
      <c r="B1065" s="29"/>
    </row>
    <row r="1066" spans="2:2" x14ac:dyDescent="0.3">
      <c r="B1066" s="29"/>
    </row>
    <row r="1067" spans="2:2" x14ac:dyDescent="0.3">
      <c r="B1067" s="29"/>
    </row>
    <row r="1068" spans="2:2" x14ac:dyDescent="0.3">
      <c r="B1068" s="29"/>
    </row>
    <row r="1069" spans="2:2" x14ac:dyDescent="0.3">
      <c r="B1069" s="29"/>
    </row>
    <row r="1070" spans="2:2" x14ac:dyDescent="0.3">
      <c r="B1070" s="29"/>
    </row>
    <row r="1071" spans="2:2" x14ac:dyDescent="0.3">
      <c r="B1071" s="29"/>
    </row>
    <row r="1072" spans="2:2" x14ac:dyDescent="0.3">
      <c r="B1072" s="29"/>
    </row>
    <row r="1073" spans="2:2" x14ac:dyDescent="0.3">
      <c r="B1073" s="29"/>
    </row>
    <row r="1074" spans="2:2" x14ac:dyDescent="0.3">
      <c r="B1074" s="29"/>
    </row>
    <row r="1075" spans="2:2" x14ac:dyDescent="0.3">
      <c r="B1075" s="29"/>
    </row>
    <row r="1076" spans="2:2" x14ac:dyDescent="0.3">
      <c r="B1076" s="29"/>
    </row>
    <row r="1077" spans="2:2" x14ac:dyDescent="0.3">
      <c r="B1077" s="29"/>
    </row>
    <row r="1078" spans="2:2" x14ac:dyDescent="0.3">
      <c r="B1078" s="29"/>
    </row>
    <row r="1079" spans="2:2" x14ac:dyDescent="0.3">
      <c r="B1079" s="29"/>
    </row>
    <row r="1080" spans="2:2" x14ac:dyDescent="0.3">
      <c r="B1080" s="29"/>
    </row>
    <row r="1081" spans="2:2" x14ac:dyDescent="0.3">
      <c r="B1081" s="29"/>
    </row>
    <row r="1082" spans="2:2" x14ac:dyDescent="0.3">
      <c r="B1082" s="29"/>
    </row>
    <row r="1083" spans="2:2" x14ac:dyDescent="0.3">
      <c r="B1083" s="29"/>
    </row>
    <row r="1084" spans="2:2" x14ac:dyDescent="0.3">
      <c r="B1084" s="29"/>
    </row>
    <row r="1085" spans="2:2" x14ac:dyDescent="0.3">
      <c r="B1085" s="29"/>
    </row>
    <row r="1086" spans="2:2" x14ac:dyDescent="0.3">
      <c r="B1086" s="29"/>
    </row>
    <row r="1087" spans="2:2" x14ac:dyDescent="0.3">
      <c r="B1087" s="29"/>
    </row>
    <row r="1088" spans="2:2" x14ac:dyDescent="0.3">
      <c r="B1088" s="29"/>
    </row>
    <row r="1089" spans="2:2" x14ac:dyDescent="0.3">
      <c r="B1089" s="29"/>
    </row>
    <row r="1090" spans="2:2" x14ac:dyDescent="0.3">
      <c r="B1090" s="29"/>
    </row>
    <row r="1091" spans="2:2" x14ac:dyDescent="0.3">
      <c r="B1091" s="29"/>
    </row>
    <row r="1092" spans="2:2" x14ac:dyDescent="0.3">
      <c r="B1092" s="29"/>
    </row>
    <row r="1093" spans="2:2" x14ac:dyDescent="0.3">
      <c r="B1093" s="29"/>
    </row>
    <row r="1094" spans="2:2" x14ac:dyDescent="0.3">
      <c r="B1094" s="29"/>
    </row>
    <row r="1095" spans="2:2" x14ac:dyDescent="0.3">
      <c r="B1095" s="29"/>
    </row>
    <row r="1096" spans="2:2" x14ac:dyDescent="0.3">
      <c r="B1096" s="29"/>
    </row>
    <row r="1097" spans="2:2" x14ac:dyDescent="0.3">
      <c r="B1097" s="29"/>
    </row>
    <row r="1098" spans="2:2" x14ac:dyDescent="0.3">
      <c r="B1098" s="29"/>
    </row>
    <row r="1099" spans="2:2" x14ac:dyDescent="0.3">
      <c r="B1099" s="29"/>
    </row>
    <row r="1100" spans="2:2" x14ac:dyDescent="0.3">
      <c r="B1100" s="29"/>
    </row>
    <row r="1101" spans="2:2" x14ac:dyDescent="0.3">
      <c r="B1101" s="29"/>
    </row>
    <row r="1102" spans="2:2" x14ac:dyDescent="0.3">
      <c r="B1102" s="29"/>
    </row>
    <row r="1103" spans="2:2" x14ac:dyDescent="0.3">
      <c r="B1103" s="29"/>
    </row>
    <row r="1104" spans="2:2" x14ac:dyDescent="0.3">
      <c r="B1104" s="29"/>
    </row>
    <row r="1105" spans="2:2" x14ac:dyDescent="0.3">
      <c r="B1105" s="29"/>
    </row>
    <row r="1106" spans="2:2" x14ac:dyDescent="0.3">
      <c r="B1106" s="29"/>
    </row>
    <row r="1107" spans="2:2" x14ac:dyDescent="0.3">
      <c r="B1107" s="29"/>
    </row>
    <row r="1108" spans="2:2" x14ac:dyDescent="0.3">
      <c r="B1108" s="29"/>
    </row>
    <row r="1109" spans="2:2" x14ac:dyDescent="0.3">
      <c r="B1109" s="29"/>
    </row>
    <row r="1110" spans="2:2" x14ac:dyDescent="0.3">
      <c r="B1110" s="29"/>
    </row>
    <row r="1111" spans="2:2" x14ac:dyDescent="0.3">
      <c r="B1111" s="29"/>
    </row>
    <row r="1112" spans="2:2" x14ac:dyDescent="0.3">
      <c r="B1112" s="29"/>
    </row>
    <row r="1113" spans="2:2" x14ac:dyDescent="0.3">
      <c r="B1113" s="29"/>
    </row>
    <row r="1114" spans="2:2" x14ac:dyDescent="0.3">
      <c r="B1114" s="29"/>
    </row>
    <row r="1115" spans="2:2" x14ac:dyDescent="0.3">
      <c r="B1115" s="29"/>
    </row>
    <row r="1116" spans="2:2" x14ac:dyDescent="0.3">
      <c r="B1116" s="29"/>
    </row>
    <row r="1117" spans="2:2" x14ac:dyDescent="0.3">
      <c r="B1117" s="29"/>
    </row>
    <row r="1118" spans="2:2" x14ac:dyDescent="0.3">
      <c r="B1118" s="29"/>
    </row>
    <row r="1119" spans="2:2" x14ac:dyDescent="0.3">
      <c r="B1119" s="29"/>
    </row>
    <row r="1120" spans="2:2" x14ac:dyDescent="0.3">
      <c r="B1120" s="29"/>
    </row>
    <row r="1121" spans="2:2" x14ac:dyDescent="0.3">
      <c r="B1121" s="29"/>
    </row>
    <row r="1122" spans="2:2" x14ac:dyDescent="0.3">
      <c r="B1122" s="29"/>
    </row>
    <row r="1123" spans="2:2" x14ac:dyDescent="0.3">
      <c r="B1123" s="29"/>
    </row>
    <row r="1124" spans="2:2" x14ac:dyDescent="0.3">
      <c r="B1124" s="29"/>
    </row>
    <row r="1125" spans="2:2" x14ac:dyDescent="0.3">
      <c r="B1125" s="29"/>
    </row>
    <row r="1126" spans="2:2" x14ac:dyDescent="0.3">
      <c r="B1126" s="29"/>
    </row>
    <row r="1127" spans="2:2" x14ac:dyDescent="0.3">
      <c r="B1127" s="29"/>
    </row>
    <row r="1128" spans="2:2" x14ac:dyDescent="0.3">
      <c r="B1128" s="29"/>
    </row>
    <row r="1129" spans="2:2" x14ac:dyDescent="0.3">
      <c r="B1129" s="29"/>
    </row>
    <row r="1130" spans="2:2" x14ac:dyDescent="0.3">
      <c r="B1130" s="29"/>
    </row>
    <row r="1131" spans="2:2" x14ac:dyDescent="0.3">
      <c r="B1131" s="29"/>
    </row>
    <row r="1132" spans="2:2" x14ac:dyDescent="0.3">
      <c r="B1132" s="29"/>
    </row>
    <row r="1133" spans="2:2" x14ac:dyDescent="0.3">
      <c r="B1133" s="29"/>
    </row>
    <row r="1134" spans="2:2" x14ac:dyDescent="0.3">
      <c r="B1134" s="29"/>
    </row>
    <row r="1135" spans="2:2" x14ac:dyDescent="0.3">
      <c r="B1135" s="29"/>
    </row>
    <row r="1136" spans="2:2" x14ac:dyDescent="0.3">
      <c r="B1136" s="29"/>
    </row>
    <row r="1137" spans="2:2" x14ac:dyDescent="0.3">
      <c r="B1137" s="29"/>
    </row>
    <row r="1138" spans="2:2" x14ac:dyDescent="0.3">
      <c r="B1138" s="29"/>
    </row>
    <row r="1139" spans="2:2" x14ac:dyDescent="0.3">
      <c r="B1139" s="29"/>
    </row>
    <row r="1140" spans="2:2" x14ac:dyDescent="0.3">
      <c r="B1140" s="29"/>
    </row>
    <row r="1141" spans="2:2" x14ac:dyDescent="0.3">
      <c r="B1141" s="29"/>
    </row>
    <row r="1142" spans="2:2" x14ac:dyDescent="0.3">
      <c r="B1142" s="29"/>
    </row>
    <row r="1143" spans="2:2" x14ac:dyDescent="0.3">
      <c r="B1143" s="29"/>
    </row>
    <row r="1144" spans="2:2" x14ac:dyDescent="0.3">
      <c r="B1144" s="29"/>
    </row>
    <row r="1145" spans="2:2" x14ac:dyDescent="0.3">
      <c r="B1145" s="29"/>
    </row>
    <row r="1146" spans="2:2" x14ac:dyDescent="0.3">
      <c r="B1146" s="29"/>
    </row>
    <row r="1147" spans="2:2" x14ac:dyDescent="0.3">
      <c r="B1147" s="29"/>
    </row>
    <row r="1148" spans="2:2" x14ac:dyDescent="0.3">
      <c r="B1148" s="29"/>
    </row>
    <row r="1149" spans="2:2" x14ac:dyDescent="0.3">
      <c r="B1149" s="29"/>
    </row>
    <row r="1150" spans="2:2" x14ac:dyDescent="0.3">
      <c r="B1150" s="29"/>
    </row>
    <row r="1151" spans="2:2" x14ac:dyDescent="0.3">
      <c r="B1151" s="29"/>
    </row>
    <row r="1152" spans="2:2" x14ac:dyDescent="0.3">
      <c r="B1152" s="29"/>
    </row>
    <row r="1153" spans="2:2" x14ac:dyDescent="0.3">
      <c r="B1153" s="29"/>
    </row>
  </sheetData>
  <sheetProtection insertRows="0" deleteRows="0" selectLockedCells="1" selectUnlockedCells="1"/>
  <mergeCells count="4">
    <mergeCell ref="A1:D4"/>
    <mergeCell ref="N1:O1"/>
    <mergeCell ref="F1:G1"/>
    <mergeCell ref="K1:M1"/>
  </mergeCells>
  <conditionalFormatting sqref="B6:B500">
    <cfRule type="containsText" dxfId="10" priority="35" operator="containsText" text="IC-Inpatient">
      <formula>NOT(ISERROR(SEARCH("IC-Inpatient",B6)))</formula>
    </cfRule>
    <cfRule type="containsText" dxfId="9" priority="36" operator="containsText" text="SC-Skilled">
      <formula>NOT(ISERROR(SEARCH("SC-Skilled",B6)))</formula>
    </cfRule>
    <cfRule type="containsText" dxfId="8" priority="37" operator="containsText" text="Adjustment">
      <formula>NOT(ISERROR(SEARCH("Adjustment",B6)))</formula>
    </cfRule>
    <cfRule type="containsText" dxfId="7" priority="38" operator="containsText" text="OC-Outpatient">
      <formula>NOT(ISERROR(SEARCH("OC-Outpatient",B6)))</formula>
    </cfRule>
    <cfRule type="containsText" dxfId="6" priority="39" operator="containsText" text="PA-Professional">
      <formula>NOT(ISERROR(SEARCH("PA-Professional",B6)))</formula>
    </cfRule>
  </conditionalFormatting>
  <conditionalFormatting sqref="C6:C500">
    <cfRule type="containsText" dxfId="5" priority="46" operator="containsText" text="Hold/Work Later">
      <formula>NOT(ISERROR(SEARCH("Hold/Work Later",C6)))</formula>
    </cfRule>
    <cfRule type="containsText" dxfId="4" priority="47" operator="containsText" text="Other">
      <formula>NOT(ISERROR(SEARCH("Other",C6)))</formula>
    </cfRule>
    <cfRule type="containsText" dxfId="3" priority="48" operator="containsText" text="Valid DF">
      <formula>NOT(ISERROR(SEARCH("Valid DF",C6)))</formula>
    </cfRule>
    <cfRule type="containsText" dxfId="2" priority="49" operator="containsText" text="Returned CIW">
      <formula>NOT(ISERROR(SEARCH("Returned CIW",C6)))</formula>
    </cfRule>
    <cfRule type="containsText" dxfId="1" priority="620" operator="containsText" text="created DF">
      <formula>NOT(ISERROR(SEARCH("created DF",C6)))</formula>
    </cfRule>
  </conditionalFormatting>
  <conditionalFormatting sqref="A6:A500">
    <cfRule type="duplicateValues" dxfId="0" priority="1"/>
  </conditionalFormatting>
  <dataValidations count="4">
    <dataValidation type="list" allowBlank="1" showInputMessage="1" showErrorMessage="1" sqref="C1143:C1153 C1046:C1141" xr:uid="{F860F830-FE69-400A-81C8-8D759B853CB4}">
      <formula1>"Valid DF, returned (Status 11), created DF"</formula1>
    </dataValidation>
    <dataValidation type="list" allowBlank="1" showInputMessage="1" showErrorMessage="1" sqref="C1142" xr:uid="{E6168998-901D-45B5-BB86-9E71801DFE4B}">
      <formula1>"HD return, Valid DF, returned (Status 11), created DF"</formula1>
    </dataValidation>
    <dataValidation type="list" allowBlank="1" showInputMessage="1" showErrorMessage="1" sqref="C6:C500" xr:uid="{081E7C01-2670-488A-AEBD-7B85B3461F82}">
      <formula1>"Valid DF, Returned CIW, Created DF, Other, Hold/Work Later"</formula1>
    </dataValidation>
    <dataValidation type="list" allowBlank="1" showInputMessage="1" showErrorMessage="1" sqref="B1:B4 B6:B1048576" xr:uid="{53BC8957-8AFD-4308-A4E3-052CC750FB42}">
      <formula1>"PA-Professional, OC-Outpatient, IC-Inpatient, SC-Skilled, Adjustment"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759A5-64E4-4337-BC2B-C30D7051B937}">
  <sheetPr codeName="Sheet2">
    <tabColor rgb="FF00B0F0"/>
  </sheetPr>
  <dimension ref="A2:M20"/>
  <sheetViews>
    <sheetView workbookViewId="0">
      <selection activeCell="E3" sqref="E3"/>
    </sheetView>
  </sheetViews>
  <sheetFormatPr defaultRowHeight="14.4" x14ac:dyDescent="0.3"/>
  <cols>
    <col min="1" max="1" width="18.88671875" bestFit="1" customWidth="1"/>
    <col min="4" max="4" width="10.44140625" customWidth="1"/>
    <col min="12" max="12" width="9.109375" style="16"/>
  </cols>
  <sheetData>
    <row r="2" spans="1:13" x14ac:dyDescent="0.3">
      <c r="A2" s="33" t="s">
        <v>5</v>
      </c>
      <c r="B2" s="4">
        <f>'DF Tracker'!H2</f>
        <v>0</v>
      </c>
      <c r="D2" s="6" t="s">
        <v>7</v>
      </c>
      <c r="E2" s="7" t="s">
        <v>12</v>
      </c>
      <c r="F2" s="7" t="s">
        <v>13</v>
      </c>
      <c r="G2" s="2"/>
      <c r="H2" s="2"/>
      <c r="J2" s="8" t="s">
        <v>14</v>
      </c>
      <c r="K2" s="9" t="s">
        <v>12</v>
      </c>
      <c r="L2" s="14" t="s">
        <v>13</v>
      </c>
      <c r="M2" s="3"/>
    </row>
    <row r="3" spans="1:13" x14ac:dyDescent="0.3">
      <c r="A3" s="34" t="s">
        <v>16</v>
      </c>
      <c r="B3" s="32">
        <f>'DF Tracker'!H3</f>
        <v>0</v>
      </c>
      <c r="D3" s="88"/>
      <c r="E3" s="89">
        <v>0</v>
      </c>
      <c r="F3" s="89">
        <v>0</v>
      </c>
      <c r="G3" s="4">
        <f t="shared" ref="G3:G11" si="0">F3-E3</f>
        <v>0</v>
      </c>
      <c r="H3" s="2"/>
      <c r="J3" s="90"/>
      <c r="K3" s="89">
        <v>0</v>
      </c>
      <c r="L3" s="89">
        <v>0</v>
      </c>
      <c r="M3" s="4">
        <f>L3-K3</f>
        <v>0</v>
      </c>
    </row>
    <row r="4" spans="1:13" x14ac:dyDescent="0.3">
      <c r="A4" s="35" t="s">
        <v>15</v>
      </c>
      <c r="B4" s="32">
        <f>'DF Tracker'!H4</f>
        <v>0</v>
      </c>
      <c r="D4" s="88"/>
      <c r="E4" s="89">
        <v>0</v>
      </c>
      <c r="F4" s="89">
        <v>0</v>
      </c>
      <c r="G4" s="4">
        <f t="shared" si="0"/>
        <v>0</v>
      </c>
      <c r="H4" s="2"/>
      <c r="J4" s="86"/>
      <c r="K4" s="89">
        <v>0</v>
      </c>
      <c r="L4" s="89">
        <v>0</v>
      </c>
      <c r="M4" s="4">
        <f t="shared" ref="M4" si="1">L4-K4</f>
        <v>0</v>
      </c>
    </row>
    <row r="5" spans="1:13" x14ac:dyDescent="0.3">
      <c r="A5" s="86" t="s">
        <v>14</v>
      </c>
      <c r="B5" s="32">
        <f>M9</f>
        <v>0</v>
      </c>
      <c r="D5" s="88"/>
      <c r="E5" s="89">
        <v>0</v>
      </c>
      <c r="F5" s="89">
        <v>0</v>
      </c>
      <c r="G5" s="4">
        <f t="shared" si="0"/>
        <v>0</v>
      </c>
      <c r="H5" s="2"/>
      <c r="J5" s="86"/>
      <c r="K5" s="89">
        <v>0</v>
      </c>
      <c r="L5" s="89">
        <v>0</v>
      </c>
      <c r="M5" s="4">
        <f t="shared" ref="M5:M8" si="2">L5-K5</f>
        <v>0</v>
      </c>
    </row>
    <row r="6" spans="1:13" x14ac:dyDescent="0.3">
      <c r="A6" s="45" t="s">
        <v>6</v>
      </c>
      <c r="B6" s="32">
        <f>'DF Tracker'!M2</f>
        <v>0</v>
      </c>
      <c r="D6" s="88"/>
      <c r="E6" s="89">
        <v>0</v>
      </c>
      <c r="F6" s="89">
        <v>0</v>
      </c>
      <c r="G6" s="4">
        <f t="shared" si="0"/>
        <v>0</v>
      </c>
      <c r="H6" s="2"/>
      <c r="J6" s="86"/>
      <c r="K6" s="89">
        <v>0</v>
      </c>
      <c r="L6" s="89">
        <v>0</v>
      </c>
      <c r="M6" s="4">
        <f t="shared" si="2"/>
        <v>0</v>
      </c>
    </row>
    <row r="7" spans="1:13" x14ac:dyDescent="0.3">
      <c r="A7" s="87" t="s">
        <v>7</v>
      </c>
      <c r="B7" s="36">
        <f>G12</f>
        <v>0</v>
      </c>
      <c r="D7" s="88"/>
      <c r="E7" s="89">
        <v>0</v>
      </c>
      <c r="F7" s="89">
        <v>0</v>
      </c>
      <c r="G7" s="4">
        <f t="shared" si="0"/>
        <v>0</v>
      </c>
      <c r="H7" s="2"/>
      <c r="J7" s="86"/>
      <c r="K7" s="89">
        <v>0</v>
      </c>
      <c r="L7" s="89">
        <v>0</v>
      </c>
      <c r="M7" s="4">
        <f t="shared" si="2"/>
        <v>0</v>
      </c>
    </row>
    <row r="8" spans="1:13" ht="18" thickBot="1" x14ac:dyDescent="0.4">
      <c r="A8" s="37" t="s">
        <v>11</v>
      </c>
      <c r="B8" s="60">
        <f>SUM(B2:B5,B7)</f>
        <v>0</v>
      </c>
      <c r="D8" s="88"/>
      <c r="E8" s="89">
        <v>0</v>
      </c>
      <c r="F8" s="89">
        <v>0</v>
      </c>
      <c r="G8" s="4">
        <f t="shared" si="0"/>
        <v>0</v>
      </c>
      <c r="H8" s="2"/>
      <c r="J8" s="86"/>
      <c r="K8" s="89">
        <v>0</v>
      </c>
      <c r="L8" s="89">
        <v>0</v>
      </c>
      <c r="M8" s="4">
        <f t="shared" si="2"/>
        <v>0</v>
      </c>
    </row>
    <row r="9" spans="1:13" ht="18" thickBot="1" x14ac:dyDescent="0.4">
      <c r="D9" s="88"/>
      <c r="E9" s="89">
        <v>0</v>
      </c>
      <c r="F9" s="89">
        <v>0</v>
      </c>
      <c r="G9" s="4">
        <f t="shared" si="0"/>
        <v>0</v>
      </c>
      <c r="H9" s="2"/>
      <c r="J9" s="11" t="s">
        <v>11</v>
      </c>
      <c r="K9" s="12"/>
      <c r="L9" s="15"/>
      <c r="M9" s="13">
        <f>SUM(M3:M8)</f>
        <v>0</v>
      </c>
    </row>
    <row r="10" spans="1:13" x14ac:dyDescent="0.3">
      <c r="D10" s="88"/>
      <c r="E10" s="89">
        <v>0</v>
      </c>
      <c r="F10" s="89">
        <v>0</v>
      </c>
      <c r="G10" s="4">
        <f t="shared" si="0"/>
        <v>0</v>
      </c>
      <c r="H10" s="2"/>
    </row>
    <row r="11" spans="1:13" ht="15" thickBot="1" x14ac:dyDescent="0.35">
      <c r="D11" s="88"/>
      <c r="E11" s="89">
        <v>0</v>
      </c>
      <c r="F11" s="89">
        <v>0</v>
      </c>
      <c r="G11" s="4">
        <f t="shared" si="0"/>
        <v>0</v>
      </c>
      <c r="H11" s="2"/>
    </row>
    <row r="12" spans="1:13" ht="18" thickBot="1" x14ac:dyDescent="0.4">
      <c r="D12" s="11" t="s">
        <v>11</v>
      </c>
      <c r="E12" s="18"/>
      <c r="F12" s="18"/>
      <c r="G12" s="59">
        <f>SUM(G3:G11)</f>
        <v>0</v>
      </c>
      <c r="H12" s="17"/>
    </row>
    <row r="16" spans="1:13" x14ac:dyDescent="0.3">
      <c r="B16" s="2"/>
    </row>
    <row r="20" spans="4:4" x14ac:dyDescent="0.3">
      <c r="D20" s="10"/>
    </row>
  </sheetData>
  <sheetProtection algorithmName="SHA-512" hashValue="jBM1CWw0GWhKcOj26YZ3XpLRnc3Iodw+rsT/dacqMhRnGtIbqM2yC2q5Cj74PCOiqs3njP02JDrwP2P0Fy5U6g==" saltValue="NHnGYTYao4Cyxk8y8r76jQ==" spinCount="100000" sheet="1" objects="1" scenarios="1"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DF Tracker</vt:lpstr>
      <vt:lpstr>Downtime Tracker</vt:lpstr>
      <vt:lpstr>'DF Tracker'!DCN_Section_pyWorkPage_1</vt:lpstr>
    </vt:vector>
  </TitlesOfParts>
  <Manager/>
  <Company>Anthem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Anthem, Inc.</dc:creator>
  <cp:keywords/>
  <dc:description/>
  <cp:lastModifiedBy>Sara Logan</cp:lastModifiedBy>
  <cp:revision/>
  <dcterms:created xsi:type="dcterms:W3CDTF">2023-05-18T17:11:53Z</dcterms:created>
  <dcterms:modified xsi:type="dcterms:W3CDTF">2026-10-09T16:14:48Z</dcterms:modified>
  <cp:category/>
  <cp:contentStatus/>
</cp:coreProperties>
</file>