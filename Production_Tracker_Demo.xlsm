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b948a7b390f0ffc/Documents/Professional Documents/Portfolio Examples/Production_Tracker/"/>
    </mc:Choice>
  </mc:AlternateContent>
  <xr:revisionPtr revIDLastSave="26" documentId="8_{EAD2E454-4F0F-445E-9DE4-ADBC54E8ED9E}" xr6:coauthVersionLast="47" xr6:coauthVersionMax="47" xr10:uidLastSave="{4956F088-4163-4FDD-BD4F-64288D03A009}"/>
  <bookViews>
    <workbookView xWindow="-108" yWindow="-108" windowWidth="23256" windowHeight="12456" tabRatio="718" activeTab="1" xr2:uid="{0DD7D9F1-C27D-4E0B-B277-D7651D55A349}"/>
  </bookViews>
  <sheets>
    <sheet name="DF Tracker" sheetId="1" r:id="rId1"/>
    <sheet name="Downtime Tracker" sheetId="3" r:id="rId2"/>
  </sheets>
  <definedNames>
    <definedName name="DCN_Section_pyWorkPage_1" localSheetId="0">'DF Tracker'!$A$26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1" l="1"/>
  <c r="L3" i="1"/>
  <c r="L2" i="1" a="1"/>
  <c r="L2" i="1" s="1"/>
  <c r="G3" i="1" a="1"/>
  <c r="G3" i="1" s="1"/>
  <c r="H3" i="1" s="1"/>
  <c r="G4" i="1"/>
  <c r="H4" i="1" s="1"/>
  <c r="O2" i="1"/>
  <c r="G2" i="1"/>
  <c r="H2" i="1" s="1"/>
  <c r="M2" i="1" l="1"/>
  <c r="L5" i="1" l="1"/>
  <c r="B3" i="3"/>
  <c r="B2" i="3"/>
  <c r="G4" i="3"/>
  <c r="G5" i="3"/>
  <c r="G6" i="3"/>
  <c r="G7" i="3"/>
  <c r="G8" i="3"/>
  <c r="G9" i="3"/>
  <c r="G10" i="3"/>
  <c r="G11" i="3"/>
  <c r="G3" i="3"/>
  <c r="M5" i="3"/>
  <c r="M6" i="3"/>
  <c r="M7" i="3"/>
  <c r="M8" i="3"/>
  <c r="G12" i="3" l="1"/>
  <c r="B6" i="3"/>
  <c r="G5" i="1"/>
  <c r="M4" i="3"/>
  <c r="M3" i="3"/>
  <c r="M9" i="3" l="1"/>
  <c r="B5" i="3" s="1"/>
  <c r="I3" i="1"/>
  <c r="B7" i="3"/>
  <c r="H5" i="1"/>
  <c r="I4" i="1" s="1"/>
  <c r="B4" i="3"/>
  <c r="B8" i="3" l="1"/>
  <c r="I5" i="1" s="1"/>
  <c r="I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Sara Logan</author>
  </authors>
  <commentList>
    <comment ref="I2" authorId="0" shapeId="0" xr:uid="{91A2E9D2-7C7B-4CF2-8182-3FD30D265C71}">
      <text>
        <r>
          <rPr>
            <b/>
            <sz val="9"/>
            <color indexed="81"/>
            <rFont val="Tahoma"/>
            <family val="2"/>
          </rPr>
          <t>Sara Logan:</t>
        </r>
        <r>
          <rPr>
            <sz val="9"/>
            <color indexed="81"/>
            <rFont val="Tahoma"/>
            <family val="2"/>
          </rPr>
          <t xml:space="preserve">
Meeting Carve out time total from Downtime Tracker</t>
        </r>
      </text>
    </comment>
    <comment ref="M2" authorId="0" shapeId="0" xr:uid="{2A732321-FC7E-441E-9CBE-04F9FB1DF773}">
      <text>
        <r>
          <rPr>
            <b/>
            <sz val="9"/>
            <color indexed="81"/>
            <rFont val="Tahoma"/>
            <family val="2"/>
          </rPr>
          <t>Sara Logan:</t>
        </r>
        <r>
          <rPr>
            <sz val="9"/>
            <color indexed="81"/>
            <rFont val="Tahoma"/>
            <family val="2"/>
          </rPr>
          <t xml:space="preserve">
Enter this time manually in production reporting. It is excluded from the calculated total to avoid double-counting.</t>
        </r>
      </text>
    </comment>
    <comment ref="I3" authorId="0" shapeId="0" xr:uid="{BB728521-E987-4DA0-B182-45E5437CF25E}">
      <text>
        <r>
          <rPr>
            <b/>
            <sz val="9"/>
            <color indexed="81"/>
            <rFont val="Tahoma"/>
            <family val="2"/>
          </rPr>
          <t>Sara Logan:</t>
        </r>
        <r>
          <rPr>
            <sz val="9"/>
            <color indexed="81"/>
            <rFont val="Tahoma"/>
            <family val="2"/>
          </rPr>
          <t xml:space="preserve">
Other carve out time total from Downtime Tracker
</t>
        </r>
      </text>
    </comment>
    <comment ref="G5" authorId="0" shapeId="0" xr:uid="{B12B4BDF-3525-4CD3-B17A-517E9ED02A72}">
      <text>
        <r>
          <rPr>
            <b/>
            <sz val="9"/>
            <color indexed="81"/>
            <rFont val="Tahoma"/>
            <family val="2"/>
          </rPr>
          <t>Sara Logan:</t>
        </r>
        <r>
          <rPr>
            <sz val="9"/>
            <color indexed="81"/>
            <rFont val="Tahoma"/>
            <family val="2"/>
          </rPr>
          <t xml:space="preserve">
Total Production count</t>
        </r>
      </text>
    </comment>
    <comment ref="H5" authorId="0" shapeId="0" xr:uid="{49CA52C7-0835-4B79-8063-B2405ED74CCF}">
      <text>
        <r>
          <rPr>
            <b/>
            <sz val="9"/>
            <color indexed="81"/>
            <rFont val="Tahoma"/>
            <family val="2"/>
          </rPr>
          <t>Sara Logan:</t>
        </r>
        <r>
          <rPr>
            <sz val="9"/>
            <color indexed="81"/>
            <rFont val="Tahoma"/>
            <family val="2"/>
          </rPr>
          <t xml:space="preserve">
Total time for claim types
</t>
        </r>
      </text>
    </comment>
    <comment ref="I5" authorId="0" shapeId="0" xr:uid="{E722A7AB-387A-48AD-870E-06A3ECFC5414}">
      <text>
        <r>
          <rPr>
            <b/>
            <sz val="9"/>
            <color indexed="81"/>
            <rFont val="Tahoma"/>
            <family val="2"/>
          </rPr>
          <t>Sara Logan:</t>
        </r>
        <r>
          <rPr>
            <sz val="9"/>
            <color indexed="81"/>
            <rFont val="Tahoma"/>
            <family val="2"/>
          </rPr>
          <t xml:space="preserve">
Sara Logan:
Total time to make sure you have met production for the day that includes any carve out time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Sara Logan</author>
  </authors>
  <commentList>
    <comment ref="E3" authorId="0" shapeId="0" xr:uid="{B40667D7-E170-431E-AFC6-21268B19977B}">
      <text>
        <r>
          <rPr>
            <b/>
            <sz val="9"/>
            <color indexed="81"/>
            <rFont val="Tahoma"/>
            <family val="2"/>
          </rPr>
          <t>Sara Logan:</t>
        </r>
        <r>
          <rPr>
            <sz val="9"/>
            <color indexed="81"/>
            <rFont val="Tahoma"/>
            <family val="2"/>
          </rPr>
          <t xml:space="preserve">
Enter time with AM or PM example 7 AM
</t>
        </r>
      </text>
    </comment>
    <comment ref="K3" authorId="0" shapeId="0" xr:uid="{85C982D6-D4E5-4F3E-8AD7-14D86A96A99F}">
      <text>
        <r>
          <rPr>
            <b/>
            <sz val="9"/>
            <color indexed="81"/>
            <rFont val="Tahoma"/>
            <family val="2"/>
          </rPr>
          <t>Sara Logan:</t>
        </r>
        <r>
          <rPr>
            <sz val="9"/>
            <color indexed="81"/>
            <rFont val="Tahoma"/>
            <family val="2"/>
          </rPr>
          <t xml:space="preserve">
Enter time with AM or PM example 7 AM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<sst xmlns="http://schemas.openxmlformats.org/spreadsheetml/2006/main" count="31" uniqueCount="21">
  <si>
    <t>DF Tracker</t>
  </si>
  <si>
    <t>RE</t>
  </si>
  <si>
    <t>Claim Type Count</t>
  </si>
  <si>
    <t>Hours</t>
  </si>
  <si>
    <t>Status Count</t>
  </si>
  <si>
    <t>PA-Professional</t>
  </si>
  <si>
    <t>Valid DF/Other</t>
  </si>
  <si>
    <t>Other</t>
  </si>
  <si>
    <t>Hold/Work Later</t>
  </si>
  <si>
    <t>Returned CIW</t>
  </si>
  <si>
    <t>created DF</t>
  </si>
  <si>
    <t>Total</t>
  </si>
  <si>
    <t>Meeting</t>
  </si>
  <si>
    <t>Adjustment</t>
  </si>
  <si>
    <t>Institutional</t>
  </si>
  <si>
    <t>Institutional(IC,OC,SC)</t>
  </si>
  <si>
    <t>Claim Type</t>
  </si>
  <si>
    <t>Status</t>
  </si>
  <si>
    <t>Notes</t>
  </si>
  <si>
    <t>Claim Number</t>
  </si>
  <si>
    <t>Downtime &amp; Production Hours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</si>
</sst>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/yy;@"/>
    <numFmt numFmtId="165" formatCode="[$-409]h:mm\ AM/PM;@"/>
    <numFmt numFmtId="166" formatCode="h:mm;@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Times New Roman"/>
      <family val="1"/>
    </font>
    <font>
      <sz val="12"/>
      <name val="Times New Roman"/>
      <family val="1"/>
    </font>
    <font>
      <b/>
      <sz val="10"/>
      <name val="Times New Roman"/>
      <family val="1"/>
    </font>
    <font>
      <b/>
      <sz val="13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b/>
      <sz val="16"/>
      <name val="Times New Roman"/>
      <family val="1"/>
    </font>
    <font>
      <sz val="16"/>
      <color theme="1"/>
      <name val="Times New Roman"/>
      <family val="1"/>
    </font>
    <font>
      <b/>
      <sz val="72"/>
      <color theme="1"/>
      <name val="Times New Roman"/>
      <family val="1"/>
    </font>
    <font>
      <b/>
      <sz val="11"/>
      <color theme="0"/>
      <name val="Times New Roman"/>
      <family val="1"/>
    </font>
    <font>
      <b/>
      <sz val="12"/>
      <color theme="0"/>
      <name val="Times New Roman"/>
      <family val="1"/>
    </font>
    <font>
      <b/>
      <i/>
      <sz val="16"/>
      <color theme="1"/>
      <name val="Times New Roman"/>
      <family val="1"/>
    </font>
    <font>
      <sz val="11"/>
      <name val="Times New Roman"/>
      <family val="1"/>
    </font>
    <font>
      <b/>
      <i/>
      <sz val="10"/>
      <color theme="1"/>
      <name val="Times New Roman"/>
      <family val="1"/>
    </font>
    <font>
      <sz val="11"/>
      <color rgb="FF10132E"/>
      <name val="Arial"/>
      <family val="2"/>
    </font>
    <font>
      <sz val="10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AFA1D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A448B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F2A0E0"/>
        <bgColor indexed="64"/>
      </patternFill>
    </fill>
  </fills>
  <borders count="38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8">
    <xf numFmtId="0" fontId="0" fillId="0" borderId="0" xfId="0"/>
    <xf numFmtId="0" fontId="0" fillId="0" borderId="0" xfId="0" applyProtection="1">
      <protection locked="0"/>
    </xf>
    <xf numFmtId="20" fontId="0" fillId="0" borderId="0" xfId="0" applyNumberFormat="1"/>
    <xf numFmtId="2" fontId="0" fillId="0" borderId="8" xfId="0" applyNumberFormat="1" applyBorder="1"/>
    <xf numFmtId="20" fontId="0" fillId="0" borderId="8" xfId="0" applyNumberFormat="1" applyBorder="1"/>
    <xf numFmtId="0" fontId="0" fillId="6" borderId="6" xfId="0" applyFill="1" applyBorder="1"/>
    <xf numFmtId="0" fontId="0" fillId="6" borderId="9" xfId="0" applyFill="1" applyBorder="1"/>
    <xf numFmtId="0" fontId="0" fillId="5" borderId="9" xfId="0" applyFill="1" applyBorder="1"/>
    <xf numFmtId="0" fontId="3" fillId="4" borderId="12" xfId="0" applyFont="1" applyFill="1" applyBorder="1" applyAlignment="1" applyProtection="1">
      <alignment horizontal="center"/>
      <protection locked="0" hidden="1"/>
    </xf>
    <xf numFmtId="164" fontId="0" fillId="0" borderId="0" xfId="0" applyNumberFormat="1" applyProtection="1">
      <protection locked="0"/>
    </xf>
    <xf numFmtId="0" fontId="1" fillId="5" borderId="5" xfId="0" applyFont="1" applyFill="1" applyBorder="1"/>
    <xf numFmtId="20" fontId="1" fillId="5" borderId="0" xfId="0" applyNumberFormat="1" applyFont="1" applyFill="1"/>
    <xf numFmtId="0" fontId="1" fillId="6" borderId="6" xfId="0" applyFont="1" applyFill="1" applyBorder="1"/>
    <xf numFmtId="2" fontId="1" fillId="6" borderId="7" xfId="0" applyNumberFormat="1" applyFont="1" applyFill="1" applyBorder="1"/>
    <xf numFmtId="0" fontId="1" fillId="0" borderId="0" xfId="0" applyFont="1"/>
    <xf numFmtId="0" fontId="3" fillId="3" borderId="11" xfId="0" applyFont="1" applyFill="1" applyBorder="1" applyAlignment="1" applyProtection="1">
      <alignment horizontal="center"/>
      <protection locked="0" hidden="1"/>
    </xf>
    <xf numFmtId="0" fontId="5" fillId="0" borderId="3" xfId="0" applyFont="1" applyBorder="1"/>
    <xf numFmtId="0" fontId="5" fillId="0" borderId="17" xfId="0" applyFont="1" applyBorder="1"/>
    <xf numFmtId="20" fontId="5" fillId="6" borderId="13" xfId="0" applyNumberFormat="1" applyFont="1" applyFill="1" applyBorder="1"/>
    <xf numFmtId="165" fontId="1" fillId="6" borderId="7" xfId="0" applyNumberFormat="1" applyFont="1" applyFill="1" applyBorder="1"/>
    <xf numFmtId="165" fontId="0" fillId="0" borderId="7" xfId="0" applyNumberFormat="1" applyBorder="1"/>
    <xf numFmtId="165" fontId="5" fillId="0" borderId="17" xfId="0" applyNumberFormat="1" applyFont="1" applyBorder="1"/>
    <xf numFmtId="165" fontId="0" fillId="0" borderId="0" xfId="0" applyNumberFormat="1"/>
    <xf numFmtId="20" fontId="5" fillId="0" borderId="0" xfId="0" applyNumberFormat="1" applyFont="1"/>
    <xf numFmtId="0" fontId="0" fillId="0" borderId="17" xfId="0" applyBorder="1"/>
    <xf numFmtId="0" fontId="6" fillId="0" borderId="0" xfId="0" applyFont="1" applyAlignment="1" applyProtection="1">
      <alignment vertical="center"/>
      <protection locked="0"/>
    </xf>
    <xf numFmtId="0" fontId="1" fillId="0" borderId="0" xfId="0" applyFont="1" applyProtection="1">
      <protection locked="0"/>
    </xf>
    <xf numFmtId="0" fontId="2" fillId="0" borderId="0" xfId="0" applyFont="1" applyAlignment="1" applyProtection="1">
      <alignment horizontal="center" vertical="center"/>
      <protection locked="0" hidden="1"/>
    </xf>
    <xf numFmtId="0" fontId="4" fillId="0" borderId="0" xfId="0" applyFont="1" applyAlignment="1" applyProtection="1">
      <alignment horizontal="center" vertical="center" wrapText="1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0" fontId="1" fillId="0" borderId="0" xfId="0" applyFont="1" applyAlignment="1" applyProtection="1">
      <alignment vertical="center" wrapText="1"/>
      <protection locked="0"/>
    </xf>
    <xf numFmtId="1" fontId="3" fillId="0" borderId="0" xfId="0" applyNumberFormat="1" applyFont="1" applyAlignment="1" applyProtection="1">
      <alignment horizontal="center"/>
      <protection locked="0" hidden="1"/>
    </xf>
    <xf numFmtId="0" fontId="3" fillId="0" borderId="0" xfId="0" applyFont="1" applyAlignment="1" applyProtection="1">
      <alignment horizontal="center"/>
      <protection locked="0" hidden="1"/>
    </xf>
    <xf numFmtId="20" fontId="3" fillId="0" borderId="0" xfId="0" applyNumberFormat="1" applyFont="1" applyAlignment="1" applyProtection="1">
      <alignment horizontal="center"/>
      <protection locked="0" hidden="1"/>
    </xf>
    <xf numFmtId="0" fontId="0" fillId="0" borderId="0" xfId="0" applyAlignment="1" applyProtection="1">
      <alignment wrapText="1" shrinkToFit="1"/>
      <protection locked="0"/>
    </xf>
    <xf numFmtId="1" fontId="0" fillId="0" borderId="0" xfId="0" applyNumberFormat="1" applyProtection="1">
      <protection locked="0"/>
    </xf>
    <xf numFmtId="20" fontId="0" fillId="0" borderId="0" xfId="0" applyNumberFormat="1" applyProtection="1">
      <protection locked="0"/>
    </xf>
    <xf numFmtId="20" fontId="1" fillId="0" borderId="0" xfId="0" applyNumberFormat="1" applyFont="1"/>
    <xf numFmtId="20" fontId="0" fillId="0" borderId="18" xfId="0" applyNumberFormat="1" applyBorder="1"/>
    <xf numFmtId="0" fontId="0" fillId="11" borderId="6" xfId="0" applyFill="1" applyBorder="1" applyProtection="1">
      <protection locked="0"/>
    </xf>
    <xf numFmtId="0" fontId="0" fillId="10" borderId="9" xfId="0" applyFill="1" applyBorder="1" applyProtection="1">
      <protection locked="0"/>
    </xf>
    <xf numFmtId="0" fontId="0" fillId="12" borderId="9" xfId="0" applyFill="1" applyBorder="1" applyProtection="1">
      <protection locked="0"/>
    </xf>
    <xf numFmtId="0" fontId="0" fillId="5" borderId="10" xfId="0" applyFill="1" applyBorder="1"/>
    <xf numFmtId="20" fontId="0" fillId="0" borderId="19" xfId="0" applyNumberFormat="1" applyBorder="1"/>
    <xf numFmtId="0" fontId="5" fillId="13" borderId="14" xfId="0" applyFont="1" applyFill="1" applyBorder="1"/>
    <xf numFmtId="20" fontId="0" fillId="13" borderId="15" xfId="0" applyNumberFormat="1" applyFill="1" applyBorder="1"/>
    <xf numFmtId="20" fontId="3" fillId="6" borderId="27" xfId="0" applyNumberFormat="1" applyFont="1" applyFill="1" applyBorder="1" applyAlignment="1" applyProtection="1">
      <alignment horizontal="center"/>
      <protection locked="0" hidden="1"/>
    </xf>
    <xf numFmtId="20" fontId="3" fillId="5" borderId="28" xfId="0" applyNumberFormat="1" applyFont="1" applyFill="1" applyBorder="1" applyAlignment="1" applyProtection="1">
      <alignment horizontal="center"/>
      <protection locked="0" hidden="1"/>
    </xf>
    <xf numFmtId="0" fontId="3" fillId="8" borderId="11" xfId="0" applyFont="1" applyFill="1" applyBorder="1" applyAlignment="1" applyProtection="1">
      <alignment horizontal="center"/>
      <protection locked="0" hidden="1"/>
    </xf>
    <xf numFmtId="0" fontId="4" fillId="9" borderId="4" xfId="0" applyFont="1" applyFill="1" applyBorder="1" applyAlignment="1" applyProtection="1">
      <alignment horizontal="center" vertical="center" wrapText="1"/>
      <protection locked="0" hidden="1"/>
    </xf>
    <xf numFmtId="20" fontId="3" fillId="14" borderId="29" xfId="0" applyNumberFormat="1" applyFont="1" applyFill="1" applyBorder="1" applyAlignment="1" applyProtection="1">
      <alignment horizontal="center"/>
      <protection locked="0" hidden="1"/>
    </xf>
    <xf numFmtId="0" fontId="7" fillId="9" borderId="2" xfId="0" applyFont="1" applyFill="1" applyBorder="1" applyAlignment="1" applyProtection="1">
      <alignment horizontal="center" vertical="center"/>
      <protection locked="0"/>
    </xf>
    <xf numFmtId="0" fontId="8" fillId="11" borderId="22" xfId="0" applyFont="1" applyFill="1" applyBorder="1" applyProtection="1">
      <protection locked="0"/>
    </xf>
    <xf numFmtId="20" fontId="8" fillId="11" borderId="23" xfId="0" applyNumberFormat="1" applyFont="1" applyFill="1" applyBorder="1" applyProtection="1">
      <protection locked="0"/>
    </xf>
    <xf numFmtId="1" fontId="8" fillId="10" borderId="16" xfId="0" applyNumberFormat="1" applyFont="1" applyFill="1" applyBorder="1" applyProtection="1">
      <protection locked="0"/>
    </xf>
    <xf numFmtId="0" fontId="8" fillId="12" borderId="26" xfId="0" applyFont="1" applyFill="1" applyBorder="1" applyProtection="1">
      <protection locked="0"/>
    </xf>
    <xf numFmtId="0" fontId="8" fillId="4" borderId="25" xfId="0" applyFont="1" applyFill="1" applyBorder="1" applyProtection="1">
      <protection locked="0"/>
    </xf>
    <xf numFmtId="0" fontId="9" fillId="13" borderId="20" xfId="0" applyFont="1" applyFill="1" applyBorder="1" applyProtection="1">
      <protection locked="0"/>
    </xf>
    <xf numFmtId="20" fontId="9" fillId="13" borderId="20" xfId="0" applyNumberFormat="1" applyFont="1" applyFill="1" applyBorder="1" applyProtection="1">
      <protection locked="0"/>
    </xf>
    <xf numFmtId="0" fontId="11" fillId="13" borderId="3" xfId="0" applyFont="1" applyFill="1" applyBorder="1" applyProtection="1">
      <protection locked="0"/>
    </xf>
    <xf numFmtId="0" fontId="9" fillId="13" borderId="2" xfId="0" applyFont="1" applyFill="1" applyBorder="1" applyProtection="1">
      <protection locked="0"/>
    </xf>
    <xf numFmtId="0" fontId="2" fillId="9" borderId="11" xfId="0" applyFont="1" applyFill="1" applyBorder="1" applyAlignment="1" applyProtection="1">
      <alignment horizontal="center" vertical="center"/>
      <protection locked="0" hidden="1"/>
    </xf>
    <xf numFmtId="0" fontId="8" fillId="4" borderId="30" xfId="0" applyFont="1" applyFill="1" applyBorder="1" applyProtection="1">
      <protection locked="0"/>
    </xf>
    <xf numFmtId="0" fontId="8" fillId="8" borderId="16" xfId="0" applyFont="1" applyFill="1" applyBorder="1" applyProtection="1">
      <protection locked="0"/>
    </xf>
    <xf numFmtId="0" fontId="8" fillId="11" borderId="21" xfId="0" applyFont="1" applyFill="1" applyBorder="1" applyProtection="1">
      <protection locked="0"/>
    </xf>
    <xf numFmtId="0" fontId="8" fillId="10" borderId="24" xfId="0" applyFont="1" applyFill="1" applyBorder="1" applyProtection="1">
      <protection locked="0"/>
    </xf>
    <xf numFmtId="0" fontId="8" fillId="12" borderId="25" xfId="0" applyFont="1" applyFill="1" applyBorder="1" applyProtection="1">
      <protection locked="0"/>
    </xf>
    <xf numFmtId="20" fontId="3" fillId="3" borderId="32" xfId="0" applyNumberFormat="1" applyFont="1" applyFill="1" applyBorder="1" applyAlignment="1" applyProtection="1">
      <alignment horizontal="center"/>
      <protection locked="0" hidden="1"/>
    </xf>
    <xf numFmtId="0" fontId="8" fillId="3" borderId="36" xfId="0" applyFont="1" applyFill="1" applyBorder="1" applyProtection="1">
      <protection locked="0"/>
    </xf>
    <xf numFmtId="0" fontId="8" fillId="8" borderId="16" xfId="0" applyFont="1" applyFill="1" applyBorder="1" applyAlignment="1" applyProtection="1">
      <alignment wrapText="1"/>
      <protection locked="0"/>
    </xf>
    <xf numFmtId="166" fontId="0" fillId="8" borderId="16" xfId="0" applyNumberFormat="1" applyFill="1" applyBorder="1" applyProtection="1">
      <protection locked="0"/>
    </xf>
    <xf numFmtId="0" fontId="8" fillId="0" borderId="10" xfId="0" applyFont="1" applyBorder="1" applyProtection="1">
      <protection locked="0"/>
    </xf>
    <xf numFmtId="0" fontId="8" fillId="0" borderId="31" xfId="0" applyFont="1" applyBorder="1" applyProtection="1">
      <protection locked="0"/>
    </xf>
    <xf numFmtId="0" fontId="8" fillId="0" borderId="16" xfId="0" applyFont="1" applyBorder="1" applyProtection="1">
      <protection locked="0"/>
    </xf>
    <xf numFmtId="0" fontId="8" fillId="0" borderId="0" xfId="0" applyFont="1" applyAlignment="1" applyProtection="1">
      <alignment vertical="center" wrapText="1"/>
      <protection locked="0"/>
    </xf>
    <xf numFmtId="0" fontId="9" fillId="0" borderId="0" xfId="0" applyFont="1" applyAlignment="1" applyProtection="1">
      <alignment vertical="center"/>
      <protection locked="0"/>
    </xf>
    <xf numFmtId="0" fontId="8" fillId="0" borderId="1" xfId="0" applyFont="1" applyBorder="1"/>
    <xf numFmtId="0" fontId="16" fillId="0" borderId="1" xfId="0" applyFont="1" applyBorder="1" applyProtection="1">
      <protection locked="0"/>
    </xf>
    <xf numFmtId="0" fontId="8" fillId="0" borderId="1" xfId="0" applyFont="1" applyBorder="1" applyProtection="1">
      <protection locked="0"/>
    </xf>
    <xf numFmtId="1" fontId="8" fillId="0" borderId="1" xfId="0" applyNumberFormat="1" applyFont="1" applyBorder="1" applyProtection="1">
      <protection locked="0"/>
    </xf>
    <xf numFmtId="0" fontId="15" fillId="7" borderId="16" xfId="0" applyFont="1" applyFill="1" applyBorder="1" applyAlignment="1" applyProtection="1">
      <alignment vertical="center"/>
      <protection locked="0"/>
    </xf>
    <xf numFmtId="0" fontId="17" fillId="7" borderId="16" xfId="0" applyFont="1" applyFill="1" applyBorder="1" applyAlignment="1" applyProtection="1">
      <alignment vertical="center" wrapText="1"/>
      <protection locked="0"/>
    </xf>
    <xf numFmtId="20" fontId="9" fillId="13" borderId="2" xfId="0" applyNumberFormat="1" applyFont="1" applyFill="1" applyBorder="1" applyAlignment="1">
      <alignment horizontal="center"/>
    </xf>
    <xf numFmtId="0" fontId="19" fillId="10" borderId="16" xfId="0" applyFont="1" applyFill="1" applyBorder="1" applyAlignment="1" applyProtection="1">
      <alignment wrapText="1"/>
      <protection locked="0"/>
    </xf>
    <xf numFmtId="0" fontId="18" fillId="0" borderId="0" xfId="0" applyFont="1"/>
    <xf numFmtId="0" fontId="13" fillId="2" borderId="0" xfId="0" applyFont="1" applyFill="1" applyAlignment="1" applyProtection="1">
      <alignment horizontal="center"/>
      <protection locked="0"/>
    </xf>
    <xf numFmtId="1" fontId="14" fillId="2" borderId="0" xfId="0" applyNumberFormat="1" applyFont="1" applyFill="1" applyAlignment="1" applyProtection="1">
      <alignment horizontal="center"/>
      <protection locked="0"/>
    </xf>
    <xf numFmtId="0" fontId="14" fillId="2" borderId="0" xfId="0" applyFont="1" applyFill="1" applyAlignment="1" applyProtection="1">
      <alignment horizontal="center"/>
      <protection locked="0"/>
    </xf>
    <xf numFmtId="164" fontId="14" fillId="2" borderId="0" xfId="0" applyNumberFormat="1" applyFont="1" applyFill="1" applyAlignment="1" applyProtection="1">
      <alignment horizontal="center"/>
      <protection locked="0"/>
    </xf>
    <xf numFmtId="1" fontId="12" fillId="9" borderId="0" xfId="0" applyNumberFormat="1" applyFont="1" applyFill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 vertical="center"/>
      <protection locked="0" hidden="1"/>
    </xf>
    <xf numFmtId="0" fontId="0" fillId="0" borderId="0" xfId="0" applyAlignment="1">
      <alignment vertical="center"/>
    </xf>
    <xf numFmtId="0" fontId="9" fillId="9" borderId="3" xfId="0" applyFont="1" applyFill="1" applyBorder="1" applyAlignment="1" applyProtection="1">
      <alignment horizontal="center" vertical="center" wrapText="1"/>
      <protection locked="0"/>
    </xf>
    <xf numFmtId="0" fontId="9" fillId="9" borderId="13" xfId="0" applyFont="1" applyFill="1" applyBorder="1" applyAlignment="1" applyProtection="1">
      <alignment horizontal="center" vertical="center" wrapText="1"/>
      <protection locked="0"/>
    </xf>
    <xf numFmtId="0" fontId="10" fillId="9" borderId="33" xfId="0" applyFont="1" applyFill="1" applyBorder="1" applyAlignment="1" applyProtection="1">
      <alignment horizontal="center" vertical="center"/>
      <protection locked="0" hidden="1"/>
    </xf>
    <xf numFmtId="0" fontId="10" fillId="9" borderId="34" xfId="0" applyFont="1" applyFill="1" applyBorder="1" applyAlignment="1" applyProtection="1">
      <alignment horizontal="center" vertical="center"/>
      <protection locked="0" hidden="1"/>
    </xf>
    <xf numFmtId="0" fontId="10" fillId="9" borderId="35" xfId="0" applyFont="1" applyFill="1" applyBorder="1" applyAlignment="1" applyProtection="1">
      <alignment horizontal="center" vertical="center"/>
      <protection locked="0" hidden="1"/>
    </xf>
    <xf numFmtId="20" fontId="5" fillId="5" borderId="37" xfId="0" applyNumberFormat="1" applyFont="1" applyFill="1" applyBorder="1"/>
  </cellXfs>
  <cellStyles count="1">
    <cellStyle name="Normal" xfId="0" builtinId="0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69D8FF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5" tint="-0.24994659260841701"/>
        </patternFill>
      </fill>
    </dxf>
    <dxf>
      <fill>
        <patternFill>
          <bgColor rgb="FFFFFF00"/>
        </patternFill>
      </fill>
    </dxf>
    <dxf>
      <fill>
        <patternFill patternType="solid">
          <bgColor theme="9" tint="0.79995117038483843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9999"/>
      <color rgb="FFF2A0E0"/>
      <color rgb="FFFF33CC"/>
      <color rgb="FFA448B6"/>
      <color rgb="FFAFA1D7"/>
      <color rgb="FF83DDBB"/>
      <color rgb="FF33CCFF"/>
      <color rgb="FFF5CBED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0</xdr:row>
      <xdr:rowOff>160020</xdr:rowOff>
    </xdr:from>
    <xdr:to>
      <xdr:col>3</xdr:col>
      <xdr:colOff>1463040</xdr:colOff>
      <xdr:row>0</xdr:row>
      <xdr:rowOff>541020</xdr:rowOff>
    </xdr:to>
    <xdr:sp macro="[0]!Sheet1.ClearTrack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E1973E8-E66A-DB14-2D9B-1EA475888CFF}"/>
            </a:ext>
          </a:extLst>
        </xdr:cNvPr>
        <xdr:cNvSpPr/>
      </xdr:nvSpPr>
      <xdr:spPr>
        <a:xfrm>
          <a:off x="3810000" y="160020"/>
          <a:ext cx="1158240" cy="381000"/>
        </a:xfrm>
        <a:prstGeom prst="roundRect">
          <a:avLst/>
        </a:prstGeom>
        <a:solidFill>
          <a:srgbClr val="F2A0E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1CC29-8E5B-454D-980B-61D7E92766F1}">
  <sheetPr codeName="Sheet1">
    <tabColor rgb="FFA448B6"/>
  </sheetPr>
  <dimension ref="A1:Z1153"/>
  <sheetViews>
    <sheetView workbookViewId="0">
      <pane ySplit="5" topLeftCell="A6" activePane="bottomLeft" state="frozen"/>
      <selection pane="bottomLeft" activeCell="D13" sqref="D13"/>
    </sheetView>
  </sheetViews>
  <sheetFormatPr defaultColWidth="9.109375" defaultRowHeight="14.4" x14ac:dyDescent="0.3"/>
  <cols>
    <col min="1" max="1" width="15.44140625" style="1" customWidth="1"/>
    <col min="2" max="2" width="17.109375" style="1" customWidth="1"/>
    <col min="3" max="3" width="18.5546875" style="1" bestFit="1" customWidth="1"/>
    <col min="4" max="4" width="27.44140625" style="9" customWidth="1"/>
    <col min="5" max="5" width="5.88671875" style="1" customWidth="1"/>
    <col min="6" max="6" width="16" style="1" customWidth="1"/>
    <col min="7" max="7" width="5.88671875" style="1" bestFit="1" customWidth="1"/>
    <col min="8" max="8" width="8.21875" style="1" customWidth="1"/>
    <col min="9" max="9" width="10.77734375" style="1" customWidth="1"/>
    <col min="10" max="10" width="6.88671875" style="1" customWidth="1"/>
    <col min="11" max="11" width="14" style="1" bestFit="1" customWidth="1"/>
    <col min="12" max="12" width="6" style="1" bestFit="1" customWidth="1"/>
    <col min="13" max="13" width="4.5546875" style="1" bestFit="1" customWidth="1"/>
    <col min="14" max="14" width="10.33203125" style="1" customWidth="1"/>
    <col min="15" max="15" width="3.6640625" style="1" bestFit="1" customWidth="1"/>
    <col min="16" max="20" width="9.109375" style="1"/>
    <col min="21" max="24" width="0" style="1" hidden="1" customWidth="1"/>
    <col min="25" max="16384" width="9.109375" style="1"/>
  </cols>
  <sheetData>
    <row r="1" spans="1:26" ht="51.75" customHeight="1" thickTop="1" thickBot="1" x14ac:dyDescent="0.35">
      <c r="A1" s="89" t="s">
        <v>0</v>
      </c>
      <c r="B1" s="89"/>
      <c r="C1" s="89"/>
      <c r="D1" s="89"/>
      <c r="E1" s="51" t="s">
        <v>1</v>
      </c>
      <c r="F1" s="92" t="s">
        <v>2</v>
      </c>
      <c r="G1" s="93"/>
      <c r="H1" s="51" t="s">
        <v>3</v>
      </c>
      <c r="I1" s="49" t="s">
        <v>20</v>
      </c>
      <c r="J1" s="61" t="s">
        <v>1</v>
      </c>
      <c r="K1" s="94" t="s">
        <v>4</v>
      </c>
      <c r="L1" s="95"/>
      <c r="M1" s="96"/>
      <c r="N1" s="90"/>
      <c r="O1" s="91"/>
      <c r="P1" s="28"/>
      <c r="Q1" s="28"/>
      <c r="R1" s="29"/>
      <c r="S1" s="27"/>
      <c r="T1" s="27"/>
      <c r="U1" s="29"/>
      <c r="V1" s="29"/>
      <c r="W1" s="27"/>
      <c r="X1" s="27"/>
      <c r="Y1" s="30"/>
      <c r="Z1" s="25"/>
    </row>
    <row r="2" spans="1:26" ht="29.25" customHeight="1" thickTop="1" thickBot="1" x14ac:dyDescent="0.35">
      <c r="A2" s="89"/>
      <c r="B2" s="89"/>
      <c r="C2" s="89"/>
      <c r="D2" s="89"/>
      <c r="E2" s="64">
        <v>14</v>
      </c>
      <c r="F2" s="52" t="s">
        <v>5</v>
      </c>
      <c r="G2" s="52">
        <f>COUNTIF(B6:B500, "PA-Professional")</f>
        <v>0</v>
      </c>
      <c r="H2" s="53">
        <f>G2/E2/24</f>
        <v>0</v>
      </c>
      <c r="I2" s="46">
        <f>'Downtime Tracker'!M9</f>
        <v>0</v>
      </c>
      <c r="J2" s="48">
        <v>13</v>
      </c>
      <c r="K2" s="69" t="s">
        <v>6</v>
      </c>
      <c r="L2" s="63" cm="1">
        <f t="array" ref="L2">SUM(COUNTIF(C6:C500, {"Valid DF","Other"}))</f>
        <v>0</v>
      </c>
      <c r="M2" s="70">
        <f>L2/J2/24</f>
        <v>0</v>
      </c>
      <c r="N2" s="81" t="s">
        <v>8</v>
      </c>
      <c r="O2" s="80">
        <f>COUNTIF(C6:C500,"Hold/Work Later")</f>
        <v>0</v>
      </c>
      <c r="P2" s="33"/>
      <c r="Q2" s="31"/>
      <c r="R2" s="74"/>
      <c r="S2" s="75"/>
      <c r="T2" s="33"/>
      <c r="U2" s="31"/>
      <c r="V2" s="31"/>
      <c r="W2" s="32"/>
      <c r="X2" s="33"/>
      <c r="Y2" s="34"/>
    </row>
    <row r="3" spans="1:26" ht="28.2" thickTop="1" thickBot="1" x14ac:dyDescent="0.35">
      <c r="A3" s="89"/>
      <c r="B3" s="89"/>
      <c r="C3" s="89"/>
      <c r="D3" s="89"/>
      <c r="E3" s="65">
        <v>11</v>
      </c>
      <c r="F3" s="83" t="s">
        <v>15</v>
      </c>
      <c r="G3" s="54" cm="1">
        <f t="array" ref="G3">SUM(COUNTIF(B6:B500, {"OC-Outpatient","IC-Inpatient","SC-Skilled"}))</f>
        <v>0</v>
      </c>
      <c r="H3" s="53">
        <f t="shared" ref="H3:H4" si="0">G3/E3/24</f>
        <v>0</v>
      </c>
      <c r="I3" s="47">
        <f>'Downtime Tracker'!G12</f>
        <v>0</v>
      </c>
      <c r="J3" s="15">
        <v>15</v>
      </c>
      <c r="K3" s="67" t="s">
        <v>9</v>
      </c>
      <c r="L3" s="68">
        <f>COUNTIF(C6:C500,"Returned CIW")</f>
        <v>0</v>
      </c>
      <c r="M3" s="71"/>
      <c r="N3" s="33"/>
      <c r="P3" s="33"/>
      <c r="Q3" s="31"/>
      <c r="R3" s="31"/>
      <c r="S3" s="32"/>
      <c r="T3" s="33"/>
    </row>
    <row r="4" spans="1:26" ht="16.8" thickTop="1" thickBot="1" x14ac:dyDescent="0.35">
      <c r="A4" s="89"/>
      <c r="B4" s="89"/>
      <c r="C4" s="89"/>
      <c r="D4" s="89"/>
      <c r="E4" s="66">
        <v>8</v>
      </c>
      <c r="F4" s="55" t="s">
        <v>13</v>
      </c>
      <c r="G4" s="55">
        <f>COUNTIF(B6:B500, "Adjustment")</f>
        <v>0</v>
      </c>
      <c r="H4" s="53">
        <f t="shared" si="0"/>
        <v>0</v>
      </c>
      <c r="I4" s="50">
        <f>H5</f>
        <v>0</v>
      </c>
      <c r="J4" s="8">
        <v>15</v>
      </c>
      <c r="K4" s="56" t="s">
        <v>10</v>
      </c>
      <c r="L4" s="62">
        <f>COUNTIF(C6:C500,"Created DF")</f>
        <v>0</v>
      </c>
      <c r="M4" s="72"/>
      <c r="P4" s="33"/>
      <c r="Q4" s="35"/>
      <c r="R4" s="35"/>
      <c r="T4" s="36"/>
    </row>
    <row r="5" spans="1:26" ht="21.6" thickBot="1" x14ac:dyDescent="0.45">
      <c r="A5" s="85" t="s">
        <v>19</v>
      </c>
      <c r="B5" s="86" t="s">
        <v>16</v>
      </c>
      <c r="C5" s="87" t="s">
        <v>17</v>
      </c>
      <c r="D5" s="88" t="s">
        <v>18</v>
      </c>
      <c r="F5" s="57" t="s">
        <v>11</v>
      </c>
      <c r="G5" s="57">
        <f>SUM(G2:G4)</f>
        <v>0</v>
      </c>
      <c r="H5" s="58">
        <f>SUM(H2:H4)</f>
        <v>0</v>
      </c>
      <c r="I5" s="82">
        <f>'Downtime Tracker'!B8</f>
        <v>0</v>
      </c>
      <c r="J5" s="59"/>
      <c r="K5" s="60" t="s">
        <v>11</v>
      </c>
      <c r="L5" s="60">
        <f>SUM(L2:L4)</f>
        <v>0</v>
      </c>
      <c r="M5" s="73"/>
      <c r="N5" s="26"/>
      <c r="O5" s="26"/>
      <c r="P5" s="37"/>
      <c r="Y5" s="26"/>
      <c r="Z5" s="26"/>
    </row>
    <row r="6" spans="1:26" ht="15.6" thickTop="1" thickBot="1" x14ac:dyDescent="0.35">
      <c r="A6" s="76"/>
      <c r="B6" s="79"/>
      <c r="C6" s="77"/>
      <c r="D6" s="76"/>
      <c r="I6" s="36"/>
    </row>
    <row r="7" spans="1:26" ht="15.6" thickTop="1" thickBot="1" x14ac:dyDescent="0.35">
      <c r="A7" s="76"/>
      <c r="B7" s="79"/>
      <c r="C7" s="77"/>
      <c r="D7" s="76"/>
    </row>
    <row r="8" spans="1:26" ht="15.6" thickTop="1" thickBot="1" x14ac:dyDescent="0.35">
      <c r="A8" s="76"/>
      <c r="B8" s="79"/>
      <c r="C8" s="77"/>
      <c r="D8" s="76"/>
    </row>
    <row r="9" spans="1:26" ht="15.6" thickTop="1" thickBot="1" x14ac:dyDescent="0.35">
      <c r="A9" s="76"/>
      <c r="B9" s="79"/>
      <c r="C9" s="77"/>
      <c r="D9" s="76"/>
    </row>
    <row r="10" spans="1:26" ht="15.6" thickTop="1" thickBot="1" x14ac:dyDescent="0.35">
      <c r="A10" s="76"/>
      <c r="B10" s="79"/>
      <c r="C10" s="77"/>
      <c r="D10" s="76"/>
    </row>
    <row r="11" spans="1:26" ht="15.6" thickTop="1" thickBot="1" x14ac:dyDescent="0.35">
      <c r="A11" s="76"/>
      <c r="B11" s="79"/>
      <c r="C11" s="77"/>
      <c r="D11" s="76"/>
    </row>
    <row r="12" spans="1:26" ht="15.6" thickTop="1" thickBot="1" x14ac:dyDescent="0.35">
      <c r="A12" s="76"/>
      <c r="B12" s="79"/>
      <c r="C12" s="77"/>
      <c r="D12" s="76"/>
    </row>
    <row r="13" spans="1:26" ht="15.6" thickTop="1" thickBot="1" x14ac:dyDescent="0.35">
      <c r="A13" s="76"/>
      <c r="B13" s="79"/>
      <c r="C13" s="77"/>
      <c r="D13" s="76"/>
    </row>
    <row r="14" spans="1:26" ht="15.6" thickTop="1" thickBot="1" x14ac:dyDescent="0.35">
      <c r="A14" s="76"/>
      <c r="B14" s="79"/>
      <c r="C14" s="77"/>
      <c r="D14" s="76"/>
    </row>
    <row r="15" spans="1:26" ht="15.6" thickTop="1" thickBot="1" x14ac:dyDescent="0.35">
      <c r="A15" s="76"/>
      <c r="B15" s="79"/>
      <c r="C15" s="77"/>
      <c r="D15" s="76"/>
    </row>
    <row r="16" spans="1:26" ht="15.6" thickTop="1" thickBot="1" x14ac:dyDescent="0.35">
      <c r="A16" s="76"/>
      <c r="B16" s="79"/>
      <c r="C16" s="77"/>
      <c r="D16" s="76"/>
    </row>
    <row r="17" spans="1:4" ht="15.6" thickTop="1" thickBot="1" x14ac:dyDescent="0.35">
      <c r="A17" s="76"/>
      <c r="B17" s="79"/>
      <c r="C17" s="77"/>
      <c r="D17" s="76"/>
    </row>
    <row r="18" spans="1:4" ht="15.6" thickTop="1" thickBot="1" x14ac:dyDescent="0.35">
      <c r="A18" s="76"/>
      <c r="B18" s="79"/>
      <c r="C18" s="77"/>
      <c r="D18" s="76"/>
    </row>
    <row r="19" spans="1:4" ht="15.6" thickTop="1" thickBot="1" x14ac:dyDescent="0.35">
      <c r="A19" s="76"/>
      <c r="B19" s="79"/>
      <c r="C19" s="77"/>
      <c r="D19" s="76"/>
    </row>
    <row r="20" spans="1:4" ht="15.6" thickTop="1" thickBot="1" x14ac:dyDescent="0.35">
      <c r="A20" s="76"/>
      <c r="B20" s="79"/>
      <c r="C20" s="77"/>
      <c r="D20" s="76"/>
    </row>
    <row r="21" spans="1:4" ht="15.6" thickTop="1" thickBot="1" x14ac:dyDescent="0.35">
      <c r="A21" s="76"/>
      <c r="B21" s="79"/>
      <c r="C21" s="77"/>
      <c r="D21" s="76"/>
    </row>
    <row r="22" spans="1:4" ht="15.6" thickTop="1" thickBot="1" x14ac:dyDescent="0.35">
      <c r="A22" s="76"/>
      <c r="B22" s="79"/>
      <c r="C22" s="77"/>
      <c r="D22" s="76"/>
    </row>
    <row r="23" spans="1:4" ht="15.6" thickTop="1" thickBot="1" x14ac:dyDescent="0.35">
      <c r="A23" s="76"/>
      <c r="B23" s="79"/>
      <c r="C23" s="77"/>
      <c r="D23" s="76"/>
    </row>
    <row r="24" spans="1:4" ht="15.6" thickTop="1" thickBot="1" x14ac:dyDescent="0.35">
      <c r="A24" s="78"/>
      <c r="B24" s="79"/>
      <c r="C24" s="77"/>
      <c r="D24" s="76"/>
    </row>
    <row r="25" spans="1:4" ht="15.6" thickTop="1" thickBot="1" x14ac:dyDescent="0.35">
      <c r="A25" s="78"/>
      <c r="B25" s="79"/>
      <c r="C25" s="77"/>
      <c r="D25" s="76"/>
    </row>
    <row r="26" spans="1:4" ht="15.6" thickTop="1" thickBot="1" x14ac:dyDescent="0.35">
      <c r="A26" s="76"/>
      <c r="B26" s="79"/>
      <c r="C26" s="77"/>
      <c r="D26" s="76"/>
    </row>
    <row r="27" spans="1:4" ht="15.6" thickTop="1" thickBot="1" x14ac:dyDescent="0.35">
      <c r="A27" s="76"/>
      <c r="B27" s="79"/>
      <c r="C27" s="77"/>
      <c r="D27" s="76"/>
    </row>
    <row r="28" spans="1:4" ht="15.6" thickTop="1" thickBot="1" x14ac:dyDescent="0.35">
      <c r="A28" s="76"/>
      <c r="B28" s="79"/>
      <c r="C28" s="77"/>
      <c r="D28" s="76"/>
    </row>
    <row r="29" spans="1:4" ht="15.6" thickTop="1" thickBot="1" x14ac:dyDescent="0.35">
      <c r="A29" s="78"/>
      <c r="B29" s="79"/>
      <c r="C29" s="77"/>
      <c r="D29" s="76"/>
    </row>
    <row r="30" spans="1:4" ht="15.6" thickTop="1" thickBot="1" x14ac:dyDescent="0.35">
      <c r="A30" s="78"/>
      <c r="B30" s="79"/>
      <c r="C30" s="77"/>
      <c r="D30" s="76"/>
    </row>
    <row r="31" spans="1:4" ht="15.6" thickTop="1" thickBot="1" x14ac:dyDescent="0.35">
      <c r="A31" s="76"/>
      <c r="B31" s="79"/>
      <c r="C31" s="77"/>
      <c r="D31" s="76"/>
    </row>
    <row r="32" spans="1:4" ht="15.6" thickTop="1" thickBot="1" x14ac:dyDescent="0.35">
      <c r="A32" s="76"/>
      <c r="B32" s="79"/>
      <c r="C32" s="77"/>
      <c r="D32" s="76"/>
    </row>
    <row r="33" spans="1:4" ht="15.6" thickTop="1" thickBot="1" x14ac:dyDescent="0.35">
      <c r="A33" s="76"/>
      <c r="B33" s="79"/>
      <c r="C33" s="77"/>
      <c r="D33" s="76"/>
    </row>
    <row r="34" spans="1:4" ht="15.6" thickTop="1" thickBot="1" x14ac:dyDescent="0.35">
      <c r="A34" s="76"/>
      <c r="B34" s="79"/>
      <c r="C34" s="77"/>
      <c r="D34" s="76"/>
    </row>
    <row r="35" spans="1:4" ht="15.6" thickTop="1" thickBot="1" x14ac:dyDescent="0.35">
      <c r="A35" s="76"/>
      <c r="B35" s="79"/>
      <c r="C35" s="77"/>
      <c r="D35" s="76"/>
    </row>
    <row r="36" spans="1:4" ht="15.6" thickTop="1" thickBot="1" x14ac:dyDescent="0.35">
      <c r="A36" s="76"/>
      <c r="B36" s="79"/>
      <c r="C36" s="77"/>
      <c r="D36" s="76"/>
    </row>
    <row r="37" spans="1:4" ht="15.6" thickTop="1" thickBot="1" x14ac:dyDescent="0.35">
      <c r="A37" s="76"/>
      <c r="B37" s="79"/>
      <c r="C37" s="77"/>
      <c r="D37" s="76"/>
    </row>
    <row r="38" spans="1:4" ht="15.6" thickTop="1" thickBot="1" x14ac:dyDescent="0.35">
      <c r="A38" s="76"/>
      <c r="B38" s="79"/>
      <c r="C38" s="77"/>
      <c r="D38" s="76"/>
    </row>
    <row r="39" spans="1:4" ht="15.6" thickTop="1" thickBot="1" x14ac:dyDescent="0.35">
      <c r="A39" s="76"/>
      <c r="B39" s="79"/>
      <c r="C39" s="77"/>
      <c r="D39" s="76"/>
    </row>
    <row r="40" spans="1:4" ht="15.6" thickTop="1" thickBot="1" x14ac:dyDescent="0.35">
      <c r="A40" s="76"/>
      <c r="B40" s="79"/>
      <c r="C40" s="77"/>
      <c r="D40" s="76"/>
    </row>
    <row r="41" spans="1:4" ht="15.6" thickTop="1" thickBot="1" x14ac:dyDescent="0.35">
      <c r="A41" s="76"/>
      <c r="B41" s="79"/>
      <c r="C41" s="77"/>
      <c r="D41" s="76"/>
    </row>
    <row r="42" spans="1:4" ht="15.6" thickTop="1" thickBot="1" x14ac:dyDescent="0.35">
      <c r="A42" s="76"/>
      <c r="B42" s="79"/>
      <c r="C42" s="77"/>
      <c r="D42" s="76"/>
    </row>
    <row r="43" spans="1:4" ht="15.6" thickTop="1" thickBot="1" x14ac:dyDescent="0.35">
      <c r="A43" s="76"/>
      <c r="B43" s="79"/>
      <c r="C43" s="77"/>
      <c r="D43" s="76"/>
    </row>
    <row r="44" spans="1:4" ht="15.6" thickTop="1" thickBot="1" x14ac:dyDescent="0.35">
      <c r="A44" s="76"/>
      <c r="B44" s="79"/>
      <c r="C44" s="77"/>
      <c r="D44" s="76"/>
    </row>
    <row r="45" spans="1:4" ht="15.6" thickTop="1" thickBot="1" x14ac:dyDescent="0.35">
      <c r="A45" s="76"/>
      <c r="B45" s="79"/>
      <c r="C45" s="77"/>
      <c r="D45" s="76"/>
    </row>
    <row r="46" spans="1:4" ht="15.6" thickTop="1" thickBot="1" x14ac:dyDescent="0.35">
      <c r="A46" s="76"/>
      <c r="B46" s="79"/>
      <c r="C46" s="77"/>
      <c r="D46" s="76"/>
    </row>
    <row r="47" spans="1:4" ht="15.6" thickTop="1" thickBot="1" x14ac:dyDescent="0.35">
      <c r="A47" s="76"/>
      <c r="B47" s="79"/>
      <c r="C47" s="77"/>
      <c r="D47" s="76"/>
    </row>
    <row r="48" spans="1:4" ht="15.6" thickTop="1" thickBot="1" x14ac:dyDescent="0.35">
      <c r="A48" s="76"/>
      <c r="B48" s="79"/>
      <c r="C48" s="77"/>
      <c r="D48" s="76"/>
    </row>
    <row r="49" spans="1:4" ht="15.6" thickTop="1" thickBot="1" x14ac:dyDescent="0.35">
      <c r="A49" s="76"/>
      <c r="B49" s="79"/>
      <c r="C49" s="77"/>
      <c r="D49" s="76"/>
    </row>
    <row r="50" spans="1:4" ht="15.6" thickTop="1" thickBot="1" x14ac:dyDescent="0.35">
      <c r="A50" s="76"/>
      <c r="B50" s="79"/>
      <c r="C50" s="77"/>
      <c r="D50" s="76"/>
    </row>
    <row r="51" spans="1:4" ht="15.6" thickTop="1" thickBot="1" x14ac:dyDescent="0.35">
      <c r="A51" s="76"/>
      <c r="B51" s="79"/>
      <c r="C51" s="77"/>
      <c r="D51" s="76"/>
    </row>
    <row r="52" spans="1:4" ht="15.6" thickTop="1" thickBot="1" x14ac:dyDescent="0.35">
      <c r="A52" s="76"/>
      <c r="B52" s="79"/>
      <c r="C52" s="77"/>
      <c r="D52" s="76"/>
    </row>
    <row r="53" spans="1:4" ht="15.6" thickTop="1" thickBot="1" x14ac:dyDescent="0.35">
      <c r="A53" s="76"/>
      <c r="B53" s="79"/>
      <c r="C53" s="77"/>
      <c r="D53" s="76"/>
    </row>
    <row r="54" spans="1:4" ht="15.6" thickTop="1" thickBot="1" x14ac:dyDescent="0.35">
      <c r="A54" s="76"/>
      <c r="B54" s="79"/>
      <c r="C54" s="77"/>
      <c r="D54" s="76"/>
    </row>
    <row r="55" spans="1:4" ht="15.6" thickTop="1" thickBot="1" x14ac:dyDescent="0.35">
      <c r="A55" s="76"/>
      <c r="B55" s="79"/>
      <c r="C55" s="77"/>
      <c r="D55" s="76"/>
    </row>
    <row r="56" spans="1:4" ht="15.6" thickTop="1" thickBot="1" x14ac:dyDescent="0.35">
      <c r="A56" s="76"/>
      <c r="B56" s="79"/>
      <c r="C56" s="77"/>
      <c r="D56" s="76"/>
    </row>
    <row r="57" spans="1:4" ht="15.6" thickTop="1" thickBot="1" x14ac:dyDescent="0.35">
      <c r="A57" s="76"/>
      <c r="B57" s="79"/>
      <c r="C57" s="77"/>
      <c r="D57" s="76"/>
    </row>
    <row r="58" spans="1:4" ht="15.6" thickTop="1" thickBot="1" x14ac:dyDescent="0.35">
      <c r="A58" s="76"/>
      <c r="B58" s="79"/>
      <c r="C58" s="77"/>
      <c r="D58" s="76"/>
    </row>
    <row r="59" spans="1:4" ht="15.6" thickTop="1" thickBot="1" x14ac:dyDescent="0.35">
      <c r="A59" s="76"/>
      <c r="B59" s="79"/>
      <c r="C59" s="77"/>
      <c r="D59" s="76"/>
    </row>
    <row r="60" spans="1:4" ht="15.6" thickTop="1" thickBot="1" x14ac:dyDescent="0.35">
      <c r="A60" s="76"/>
      <c r="B60" s="79"/>
      <c r="C60" s="77"/>
      <c r="D60" s="76"/>
    </row>
    <row r="61" spans="1:4" ht="15.6" thickTop="1" thickBot="1" x14ac:dyDescent="0.35">
      <c r="A61" s="76"/>
      <c r="B61" s="79"/>
      <c r="C61" s="77"/>
      <c r="D61" s="76"/>
    </row>
    <row r="62" spans="1:4" ht="15.6" thickTop="1" thickBot="1" x14ac:dyDescent="0.35">
      <c r="A62" s="76"/>
      <c r="B62" s="79"/>
      <c r="C62" s="76"/>
      <c r="D62" s="76"/>
    </row>
    <row r="63" spans="1:4" ht="15.6" thickTop="1" thickBot="1" x14ac:dyDescent="0.35">
      <c r="A63" s="78"/>
      <c r="B63" s="79"/>
      <c r="C63" s="76"/>
      <c r="D63" s="76"/>
    </row>
    <row r="64" spans="1:4" ht="15.6" thickTop="1" thickBot="1" x14ac:dyDescent="0.35">
      <c r="A64" s="78"/>
      <c r="B64" s="79"/>
      <c r="C64" s="76"/>
      <c r="D64" s="76"/>
    </row>
    <row r="65" spans="1:4" ht="15.6" thickTop="1" thickBot="1" x14ac:dyDescent="0.35">
      <c r="A65" s="76"/>
      <c r="B65" s="79"/>
      <c r="C65" s="76"/>
      <c r="D65" s="76"/>
    </row>
    <row r="66" spans="1:4" ht="15.6" thickTop="1" thickBot="1" x14ac:dyDescent="0.35">
      <c r="A66" s="76"/>
      <c r="B66" s="79"/>
      <c r="C66" s="76"/>
      <c r="D66" s="76"/>
    </row>
    <row r="67" spans="1:4" ht="15.6" thickTop="1" thickBot="1" x14ac:dyDescent="0.35">
      <c r="A67" s="76"/>
      <c r="B67" s="79"/>
      <c r="C67" s="76"/>
      <c r="D67" s="76"/>
    </row>
    <row r="68" spans="1:4" ht="15.6" thickTop="1" thickBot="1" x14ac:dyDescent="0.35">
      <c r="A68" s="76"/>
      <c r="B68" s="79"/>
      <c r="C68" s="76"/>
      <c r="D68" s="76"/>
    </row>
    <row r="69" spans="1:4" ht="15.6" thickTop="1" thickBot="1" x14ac:dyDescent="0.35">
      <c r="A69" s="76"/>
      <c r="B69" s="79"/>
      <c r="C69" s="76"/>
      <c r="D69" s="76"/>
    </row>
    <row r="70" spans="1:4" ht="15.6" thickTop="1" thickBot="1" x14ac:dyDescent="0.35">
      <c r="A70" s="76"/>
      <c r="B70" s="79"/>
      <c r="C70" s="77"/>
      <c r="D70" s="76"/>
    </row>
    <row r="71" spans="1:4" ht="15.6" thickTop="1" thickBot="1" x14ac:dyDescent="0.35">
      <c r="A71" s="76"/>
      <c r="B71" s="79"/>
      <c r="C71" s="77"/>
      <c r="D71" s="76"/>
    </row>
    <row r="72" spans="1:4" ht="15.6" thickTop="1" thickBot="1" x14ac:dyDescent="0.35">
      <c r="A72" s="76"/>
      <c r="B72" s="79"/>
      <c r="C72" s="77"/>
      <c r="D72" s="76"/>
    </row>
    <row r="73" spans="1:4" ht="15.6" thickTop="1" thickBot="1" x14ac:dyDescent="0.35">
      <c r="A73" s="76"/>
      <c r="B73" s="79"/>
      <c r="C73" s="77"/>
      <c r="D73" s="76"/>
    </row>
    <row r="74" spans="1:4" ht="15.6" thickTop="1" thickBot="1" x14ac:dyDescent="0.35">
      <c r="A74" s="78"/>
      <c r="B74" s="79"/>
      <c r="C74" s="77"/>
      <c r="D74" s="76"/>
    </row>
    <row r="75" spans="1:4" ht="15.6" thickTop="1" thickBot="1" x14ac:dyDescent="0.35">
      <c r="A75" s="78"/>
      <c r="B75" s="79"/>
      <c r="C75" s="77"/>
      <c r="D75" s="78"/>
    </row>
    <row r="76" spans="1:4" ht="15.6" thickTop="1" thickBot="1" x14ac:dyDescent="0.35">
      <c r="A76" s="78"/>
      <c r="B76" s="79"/>
      <c r="C76" s="77"/>
      <c r="D76" s="78"/>
    </row>
    <row r="77" spans="1:4" ht="15.6" thickTop="1" thickBot="1" x14ac:dyDescent="0.35">
      <c r="A77" s="78"/>
      <c r="B77" s="79"/>
      <c r="C77" s="77"/>
      <c r="D77" s="78"/>
    </row>
    <row r="78" spans="1:4" ht="15.6" thickTop="1" thickBot="1" x14ac:dyDescent="0.35">
      <c r="A78" s="78"/>
      <c r="B78" s="79"/>
      <c r="C78" s="77"/>
      <c r="D78" s="78"/>
    </row>
    <row r="79" spans="1:4" ht="15.6" thickTop="1" thickBot="1" x14ac:dyDescent="0.35">
      <c r="A79" s="78"/>
      <c r="B79" s="79"/>
      <c r="C79" s="77"/>
      <c r="D79" s="78"/>
    </row>
    <row r="80" spans="1:4" ht="15.6" thickTop="1" thickBot="1" x14ac:dyDescent="0.35">
      <c r="A80" s="78"/>
      <c r="B80" s="79"/>
      <c r="C80" s="77"/>
      <c r="D80" s="78"/>
    </row>
    <row r="81" spans="1:4" ht="15.6" thickTop="1" thickBot="1" x14ac:dyDescent="0.35">
      <c r="A81" s="78"/>
      <c r="B81" s="79"/>
      <c r="C81" s="77"/>
      <c r="D81" s="78"/>
    </row>
    <row r="82" spans="1:4" ht="15.6" thickTop="1" thickBot="1" x14ac:dyDescent="0.35">
      <c r="A82" s="78"/>
      <c r="B82" s="79"/>
      <c r="C82" s="77"/>
      <c r="D82" s="78"/>
    </row>
    <row r="83" spans="1:4" ht="15.6" thickTop="1" thickBot="1" x14ac:dyDescent="0.35">
      <c r="A83" s="78"/>
      <c r="B83" s="79"/>
      <c r="C83" s="77"/>
      <c r="D83" s="78"/>
    </row>
    <row r="84" spans="1:4" ht="15.6" thickTop="1" thickBot="1" x14ac:dyDescent="0.35">
      <c r="A84" s="78"/>
      <c r="B84" s="79"/>
      <c r="C84" s="77"/>
      <c r="D84" s="78"/>
    </row>
    <row r="85" spans="1:4" ht="15.6" thickTop="1" thickBot="1" x14ac:dyDescent="0.35">
      <c r="A85" s="78"/>
      <c r="B85" s="79"/>
      <c r="C85" s="77"/>
      <c r="D85" s="78"/>
    </row>
    <row r="86" spans="1:4" ht="15.6" thickTop="1" thickBot="1" x14ac:dyDescent="0.35">
      <c r="A86" s="78"/>
      <c r="B86" s="79"/>
      <c r="C86" s="77"/>
      <c r="D86" s="78"/>
    </row>
    <row r="87" spans="1:4" ht="15.6" thickTop="1" thickBot="1" x14ac:dyDescent="0.35">
      <c r="A87" s="78"/>
      <c r="B87" s="79"/>
      <c r="C87" s="77"/>
      <c r="D87" s="78"/>
    </row>
    <row r="88" spans="1:4" ht="15.6" thickTop="1" thickBot="1" x14ac:dyDescent="0.35">
      <c r="A88" s="78"/>
      <c r="B88" s="79"/>
      <c r="C88" s="77"/>
      <c r="D88" s="78"/>
    </row>
    <row r="89" spans="1:4" ht="15.6" thickTop="1" thickBot="1" x14ac:dyDescent="0.35">
      <c r="A89" s="78"/>
      <c r="B89" s="79"/>
      <c r="C89" s="77"/>
      <c r="D89" s="78"/>
    </row>
    <row r="90" spans="1:4" ht="15.6" thickTop="1" thickBot="1" x14ac:dyDescent="0.35">
      <c r="A90" s="78"/>
      <c r="B90" s="79"/>
      <c r="C90" s="77"/>
      <c r="D90" s="78"/>
    </row>
    <row r="91" spans="1:4" ht="15.6" thickTop="1" thickBot="1" x14ac:dyDescent="0.35">
      <c r="A91" s="78"/>
      <c r="B91" s="79"/>
      <c r="C91" s="77"/>
      <c r="D91" s="78"/>
    </row>
    <row r="92" spans="1:4" ht="15.6" thickTop="1" thickBot="1" x14ac:dyDescent="0.35">
      <c r="A92" s="78"/>
      <c r="B92" s="79"/>
      <c r="C92" s="77"/>
      <c r="D92" s="78"/>
    </row>
    <row r="93" spans="1:4" ht="15.6" thickTop="1" thickBot="1" x14ac:dyDescent="0.35">
      <c r="A93" s="78"/>
      <c r="B93" s="79"/>
      <c r="C93" s="77"/>
      <c r="D93" s="78"/>
    </row>
    <row r="94" spans="1:4" ht="15.6" thickTop="1" thickBot="1" x14ac:dyDescent="0.35">
      <c r="A94" s="78"/>
      <c r="B94" s="79"/>
      <c r="C94" s="77"/>
      <c r="D94" s="78"/>
    </row>
    <row r="95" spans="1:4" ht="15.6" thickTop="1" thickBot="1" x14ac:dyDescent="0.35">
      <c r="A95" s="78"/>
      <c r="B95" s="79"/>
      <c r="C95" s="77"/>
      <c r="D95" s="78"/>
    </row>
    <row r="96" spans="1:4" ht="15.6" thickTop="1" thickBot="1" x14ac:dyDescent="0.35">
      <c r="A96" s="78"/>
      <c r="B96" s="79"/>
      <c r="C96" s="77"/>
      <c r="D96" s="78"/>
    </row>
    <row r="97" spans="1:4" ht="15.6" thickTop="1" thickBot="1" x14ac:dyDescent="0.35">
      <c r="A97" s="78"/>
      <c r="B97" s="79"/>
      <c r="C97" s="77"/>
      <c r="D97" s="78"/>
    </row>
    <row r="98" spans="1:4" ht="15.6" thickTop="1" thickBot="1" x14ac:dyDescent="0.35">
      <c r="A98" s="78"/>
      <c r="B98" s="79"/>
      <c r="C98" s="77"/>
      <c r="D98" s="78"/>
    </row>
    <row r="99" spans="1:4" ht="15.6" thickTop="1" thickBot="1" x14ac:dyDescent="0.35">
      <c r="A99" s="78"/>
      <c r="B99" s="79"/>
      <c r="C99" s="77"/>
      <c r="D99" s="78"/>
    </row>
    <row r="100" spans="1:4" ht="15.6" thickTop="1" thickBot="1" x14ac:dyDescent="0.35">
      <c r="A100" s="78"/>
      <c r="B100" s="79"/>
      <c r="C100" s="77"/>
      <c r="D100" s="78"/>
    </row>
    <row r="101" spans="1:4" ht="15.6" thickTop="1" thickBot="1" x14ac:dyDescent="0.35">
      <c r="A101" s="78"/>
      <c r="B101" s="79"/>
      <c r="C101" s="77"/>
      <c r="D101" s="78"/>
    </row>
    <row r="102" spans="1:4" ht="15.6" thickTop="1" thickBot="1" x14ac:dyDescent="0.35">
      <c r="A102" s="78"/>
      <c r="B102" s="79"/>
      <c r="C102" s="77"/>
      <c r="D102" s="78"/>
    </row>
    <row r="103" spans="1:4" ht="15.6" thickTop="1" thickBot="1" x14ac:dyDescent="0.35">
      <c r="A103" s="78"/>
      <c r="B103" s="79"/>
      <c r="C103" s="77"/>
      <c r="D103" s="84"/>
    </row>
    <row r="104" spans="1:4" ht="15.6" thickTop="1" thickBot="1" x14ac:dyDescent="0.35">
      <c r="A104" s="78"/>
      <c r="B104" s="79"/>
      <c r="C104" s="77"/>
      <c r="D104" s="78"/>
    </row>
    <row r="105" spans="1:4" ht="15.6" thickTop="1" thickBot="1" x14ac:dyDescent="0.35">
      <c r="A105" s="78"/>
      <c r="B105" s="79"/>
      <c r="C105" s="77"/>
      <c r="D105" s="78"/>
    </row>
    <row r="106" spans="1:4" ht="15.6" thickTop="1" thickBot="1" x14ac:dyDescent="0.35">
      <c r="A106" s="78"/>
      <c r="B106" s="79"/>
      <c r="C106" s="77"/>
      <c r="D106" s="78"/>
    </row>
    <row r="107" spans="1:4" ht="15.6" thickTop="1" thickBot="1" x14ac:dyDescent="0.35">
      <c r="A107" s="78"/>
      <c r="B107" s="79"/>
      <c r="C107" s="77"/>
      <c r="D107" s="78"/>
    </row>
    <row r="108" spans="1:4" ht="15.6" thickTop="1" thickBot="1" x14ac:dyDescent="0.35">
      <c r="A108" s="78"/>
      <c r="B108" s="79"/>
      <c r="C108" s="77"/>
      <c r="D108" s="78"/>
    </row>
    <row r="109" spans="1:4" ht="15.6" thickTop="1" thickBot="1" x14ac:dyDescent="0.35">
      <c r="A109" s="78"/>
      <c r="B109" s="79"/>
      <c r="C109" s="77"/>
      <c r="D109" s="78"/>
    </row>
    <row r="110" spans="1:4" ht="15.6" thickTop="1" thickBot="1" x14ac:dyDescent="0.35">
      <c r="A110" s="78"/>
      <c r="B110" s="79"/>
      <c r="C110" s="77"/>
      <c r="D110" s="78"/>
    </row>
    <row r="111" spans="1:4" ht="15.6" thickTop="1" thickBot="1" x14ac:dyDescent="0.35">
      <c r="A111" s="78"/>
      <c r="B111" s="79"/>
      <c r="C111" s="77"/>
      <c r="D111" s="78"/>
    </row>
    <row r="112" spans="1:4" ht="15.6" thickTop="1" thickBot="1" x14ac:dyDescent="0.35">
      <c r="A112" s="78"/>
      <c r="B112" s="79"/>
      <c r="C112" s="77"/>
      <c r="D112" s="78"/>
    </row>
    <row r="113" spans="1:4" ht="15.6" thickTop="1" thickBot="1" x14ac:dyDescent="0.35">
      <c r="A113" s="78"/>
      <c r="B113" s="79"/>
      <c r="C113" s="77"/>
      <c r="D113" s="78"/>
    </row>
    <row r="114" spans="1:4" ht="15.6" thickTop="1" thickBot="1" x14ac:dyDescent="0.35">
      <c r="A114" s="78"/>
      <c r="B114" s="79"/>
      <c r="C114" s="77"/>
      <c r="D114" s="78"/>
    </row>
    <row r="115" spans="1:4" ht="15.6" thickTop="1" thickBot="1" x14ac:dyDescent="0.35">
      <c r="A115" s="78"/>
      <c r="B115" s="79"/>
      <c r="C115" s="77"/>
      <c r="D115" s="78"/>
    </row>
    <row r="116" spans="1:4" ht="15.6" thickTop="1" thickBot="1" x14ac:dyDescent="0.35">
      <c r="A116" s="78"/>
      <c r="B116" s="79"/>
      <c r="C116" s="77"/>
      <c r="D116" s="78"/>
    </row>
    <row r="117" spans="1:4" ht="15.6" thickTop="1" thickBot="1" x14ac:dyDescent="0.35">
      <c r="A117" s="78"/>
      <c r="B117" s="79"/>
      <c r="C117" s="77"/>
      <c r="D117" s="78"/>
    </row>
    <row r="118" spans="1:4" ht="15.6" thickTop="1" thickBot="1" x14ac:dyDescent="0.35">
      <c r="A118" s="78"/>
      <c r="B118" s="79"/>
      <c r="C118" s="77"/>
      <c r="D118" s="78"/>
    </row>
    <row r="119" spans="1:4" ht="15.6" thickTop="1" thickBot="1" x14ac:dyDescent="0.35">
      <c r="A119" s="78"/>
      <c r="B119" s="79"/>
      <c r="C119" s="77"/>
      <c r="D119" s="78"/>
    </row>
    <row r="120" spans="1:4" ht="15.6" thickTop="1" thickBot="1" x14ac:dyDescent="0.35">
      <c r="A120" s="78"/>
      <c r="B120" s="79"/>
      <c r="C120" s="77"/>
      <c r="D120" s="78"/>
    </row>
    <row r="121" spans="1:4" ht="15.6" thickTop="1" thickBot="1" x14ac:dyDescent="0.35">
      <c r="A121" s="78"/>
      <c r="B121" s="79"/>
      <c r="C121" s="77"/>
      <c r="D121" s="78"/>
    </row>
    <row r="122" spans="1:4" ht="15.6" thickTop="1" thickBot="1" x14ac:dyDescent="0.35">
      <c r="A122" s="78"/>
      <c r="B122" s="79"/>
      <c r="C122" s="77"/>
      <c r="D122" s="78"/>
    </row>
    <row r="123" spans="1:4" ht="15.6" thickTop="1" thickBot="1" x14ac:dyDescent="0.35">
      <c r="A123" s="78"/>
      <c r="B123" s="79"/>
      <c r="C123" s="77"/>
      <c r="D123" s="78"/>
    </row>
    <row r="124" spans="1:4" ht="15.6" thickTop="1" thickBot="1" x14ac:dyDescent="0.35">
      <c r="A124" s="78"/>
      <c r="B124" s="79"/>
      <c r="C124" s="77"/>
      <c r="D124" s="78"/>
    </row>
    <row r="125" spans="1:4" ht="15.6" thickTop="1" thickBot="1" x14ac:dyDescent="0.35">
      <c r="A125" s="78"/>
      <c r="B125" s="79"/>
      <c r="C125" s="77"/>
      <c r="D125" s="78"/>
    </row>
    <row r="126" spans="1:4" ht="15.6" thickTop="1" thickBot="1" x14ac:dyDescent="0.35">
      <c r="A126" s="78"/>
      <c r="B126" s="79"/>
      <c r="C126" s="77"/>
      <c r="D126" s="78"/>
    </row>
    <row r="127" spans="1:4" ht="15.6" thickTop="1" thickBot="1" x14ac:dyDescent="0.35">
      <c r="A127" s="78"/>
      <c r="B127" s="79"/>
      <c r="C127" s="77"/>
      <c r="D127" s="78"/>
    </row>
    <row r="128" spans="1:4" ht="15.6" thickTop="1" thickBot="1" x14ac:dyDescent="0.35">
      <c r="A128" s="78"/>
      <c r="B128" s="79"/>
      <c r="C128" s="77"/>
      <c r="D128" s="78"/>
    </row>
    <row r="129" spans="1:4" ht="15.6" thickTop="1" thickBot="1" x14ac:dyDescent="0.35">
      <c r="A129" s="78"/>
      <c r="B129" s="79"/>
      <c r="C129" s="77"/>
      <c r="D129" s="78"/>
    </row>
    <row r="130" spans="1:4" ht="15.6" thickTop="1" thickBot="1" x14ac:dyDescent="0.35">
      <c r="A130" s="78"/>
      <c r="B130" s="79"/>
      <c r="C130" s="77"/>
      <c r="D130" s="78"/>
    </row>
    <row r="131" spans="1:4" ht="15.6" thickTop="1" thickBot="1" x14ac:dyDescent="0.35">
      <c r="A131" s="78"/>
      <c r="B131" s="79"/>
      <c r="C131" s="77"/>
      <c r="D131" s="78"/>
    </row>
    <row r="132" spans="1:4" ht="15.6" thickTop="1" thickBot="1" x14ac:dyDescent="0.35">
      <c r="A132" s="78"/>
      <c r="B132" s="79"/>
      <c r="C132" s="77"/>
      <c r="D132" s="78"/>
    </row>
    <row r="133" spans="1:4" ht="15.6" thickTop="1" thickBot="1" x14ac:dyDescent="0.35">
      <c r="A133" s="78"/>
      <c r="B133" s="79"/>
      <c r="C133" s="77"/>
      <c r="D133" s="78"/>
    </row>
    <row r="134" spans="1:4" ht="15.6" thickTop="1" thickBot="1" x14ac:dyDescent="0.35">
      <c r="A134" s="78"/>
      <c r="B134" s="79"/>
      <c r="C134" s="77"/>
      <c r="D134" s="78"/>
    </row>
    <row r="135" spans="1:4" ht="15.6" thickTop="1" thickBot="1" x14ac:dyDescent="0.35">
      <c r="A135" s="78"/>
      <c r="B135" s="79"/>
      <c r="C135" s="77"/>
      <c r="D135" s="78"/>
    </row>
    <row r="136" spans="1:4" ht="15.6" thickTop="1" thickBot="1" x14ac:dyDescent="0.35">
      <c r="A136" s="78"/>
      <c r="B136" s="79"/>
      <c r="C136" s="77"/>
      <c r="D136" s="78"/>
    </row>
    <row r="137" spans="1:4" ht="15.6" thickTop="1" thickBot="1" x14ac:dyDescent="0.35">
      <c r="A137" s="78"/>
      <c r="B137" s="79"/>
      <c r="C137" s="77"/>
      <c r="D137" s="78"/>
    </row>
    <row r="138" spans="1:4" ht="15.6" thickTop="1" thickBot="1" x14ac:dyDescent="0.35">
      <c r="A138" s="78"/>
      <c r="B138" s="79"/>
      <c r="C138" s="77"/>
      <c r="D138" s="78"/>
    </row>
    <row r="139" spans="1:4" ht="15.6" thickTop="1" thickBot="1" x14ac:dyDescent="0.35">
      <c r="A139" s="78"/>
      <c r="B139" s="79"/>
      <c r="C139" s="77"/>
      <c r="D139" s="78"/>
    </row>
    <row r="140" spans="1:4" ht="15.6" thickTop="1" thickBot="1" x14ac:dyDescent="0.35">
      <c r="A140" s="78"/>
      <c r="B140" s="79"/>
      <c r="C140" s="77"/>
      <c r="D140" s="78"/>
    </row>
    <row r="141" spans="1:4" ht="15.6" thickTop="1" thickBot="1" x14ac:dyDescent="0.35">
      <c r="A141" s="78"/>
      <c r="B141" s="79"/>
      <c r="C141" s="77"/>
      <c r="D141" s="78"/>
    </row>
    <row r="142" spans="1:4" ht="15.6" thickTop="1" thickBot="1" x14ac:dyDescent="0.35">
      <c r="A142" s="78"/>
      <c r="B142" s="79"/>
      <c r="C142" s="77"/>
      <c r="D142" s="78"/>
    </row>
    <row r="143" spans="1:4" ht="15.6" thickTop="1" thickBot="1" x14ac:dyDescent="0.35">
      <c r="A143" s="78"/>
      <c r="B143" s="79"/>
      <c r="C143" s="77"/>
      <c r="D143" s="78"/>
    </row>
    <row r="144" spans="1:4" ht="15.6" thickTop="1" thickBot="1" x14ac:dyDescent="0.35">
      <c r="A144" s="78"/>
      <c r="B144" s="79"/>
      <c r="C144" s="77"/>
      <c r="D144" s="78"/>
    </row>
    <row r="145" spans="1:4" ht="15.6" thickTop="1" thickBot="1" x14ac:dyDescent="0.35">
      <c r="A145" s="78"/>
      <c r="B145" s="79"/>
      <c r="C145" s="77"/>
      <c r="D145" s="78"/>
    </row>
    <row r="146" spans="1:4" ht="15.6" thickTop="1" thickBot="1" x14ac:dyDescent="0.35">
      <c r="A146" s="78"/>
      <c r="B146" s="79"/>
      <c r="C146" s="77"/>
      <c r="D146" s="78"/>
    </row>
    <row r="147" spans="1:4" ht="15.6" thickTop="1" thickBot="1" x14ac:dyDescent="0.35">
      <c r="A147" s="78"/>
      <c r="B147" s="79"/>
      <c r="C147" s="77"/>
      <c r="D147" s="78"/>
    </row>
    <row r="148" spans="1:4" ht="15.6" thickTop="1" thickBot="1" x14ac:dyDescent="0.35">
      <c r="A148" s="78"/>
      <c r="B148" s="79"/>
      <c r="C148" s="77"/>
      <c r="D148" s="78"/>
    </row>
    <row r="149" spans="1:4" ht="15.6" thickTop="1" thickBot="1" x14ac:dyDescent="0.35">
      <c r="A149" s="78"/>
      <c r="B149" s="79"/>
      <c r="C149" s="77"/>
      <c r="D149" s="78"/>
    </row>
    <row r="150" spans="1:4" ht="15.6" thickTop="1" thickBot="1" x14ac:dyDescent="0.35">
      <c r="A150" s="78"/>
      <c r="B150" s="79"/>
      <c r="C150" s="77"/>
      <c r="D150" s="78"/>
    </row>
    <row r="151" spans="1:4" ht="15.6" thickTop="1" thickBot="1" x14ac:dyDescent="0.35">
      <c r="A151" s="78"/>
      <c r="B151" s="79"/>
      <c r="C151" s="77"/>
      <c r="D151" s="78"/>
    </row>
    <row r="152" spans="1:4" ht="15.6" thickTop="1" thickBot="1" x14ac:dyDescent="0.35">
      <c r="A152" s="78"/>
      <c r="B152" s="79"/>
      <c r="C152" s="77"/>
      <c r="D152" s="78"/>
    </row>
    <row r="153" spans="1:4" ht="15.6" thickTop="1" thickBot="1" x14ac:dyDescent="0.35">
      <c r="A153" s="78"/>
      <c r="B153" s="79"/>
      <c r="C153" s="77"/>
      <c r="D153" s="78"/>
    </row>
    <row r="154" spans="1:4" ht="15.6" thickTop="1" thickBot="1" x14ac:dyDescent="0.35">
      <c r="A154" s="78"/>
      <c r="B154" s="79"/>
      <c r="C154" s="77"/>
      <c r="D154" s="78"/>
    </row>
    <row r="155" spans="1:4" ht="15.6" thickTop="1" thickBot="1" x14ac:dyDescent="0.35">
      <c r="A155" s="78"/>
      <c r="B155" s="79"/>
      <c r="C155" s="77"/>
      <c r="D155" s="78"/>
    </row>
    <row r="156" spans="1:4" ht="15.6" thickTop="1" thickBot="1" x14ac:dyDescent="0.35">
      <c r="A156" s="78"/>
      <c r="B156" s="79"/>
      <c r="C156" s="77"/>
      <c r="D156" s="78"/>
    </row>
    <row r="157" spans="1:4" ht="15.6" thickTop="1" thickBot="1" x14ac:dyDescent="0.35">
      <c r="A157" s="78"/>
      <c r="B157" s="79"/>
      <c r="C157" s="77"/>
      <c r="D157" s="78"/>
    </row>
    <row r="158" spans="1:4" ht="15.6" thickTop="1" thickBot="1" x14ac:dyDescent="0.35">
      <c r="A158" s="78"/>
      <c r="B158" s="79"/>
      <c r="C158" s="77"/>
      <c r="D158" s="78"/>
    </row>
    <row r="159" spans="1:4" ht="15.6" thickTop="1" thickBot="1" x14ac:dyDescent="0.35">
      <c r="A159" s="78"/>
      <c r="B159" s="79"/>
      <c r="C159" s="77"/>
      <c r="D159" s="78"/>
    </row>
    <row r="160" spans="1:4" ht="15.6" thickTop="1" thickBot="1" x14ac:dyDescent="0.35">
      <c r="A160" s="78"/>
      <c r="B160" s="79"/>
      <c r="C160" s="77"/>
      <c r="D160" s="78"/>
    </row>
    <row r="161" spans="1:4" ht="15.6" thickTop="1" thickBot="1" x14ac:dyDescent="0.35">
      <c r="A161" s="78"/>
      <c r="B161" s="79"/>
      <c r="C161" s="77"/>
      <c r="D161" s="78"/>
    </row>
    <row r="162" spans="1:4" ht="15.6" thickTop="1" thickBot="1" x14ac:dyDescent="0.35">
      <c r="A162" s="78"/>
      <c r="B162" s="79"/>
      <c r="C162" s="77"/>
      <c r="D162" s="78"/>
    </row>
    <row r="163" spans="1:4" ht="15.6" thickTop="1" thickBot="1" x14ac:dyDescent="0.35">
      <c r="A163" s="78"/>
      <c r="B163" s="79"/>
      <c r="C163" s="77"/>
      <c r="D163" s="78"/>
    </row>
    <row r="164" spans="1:4" ht="15.6" thickTop="1" thickBot="1" x14ac:dyDescent="0.35">
      <c r="A164" s="78"/>
      <c r="B164" s="79"/>
      <c r="C164" s="77"/>
      <c r="D164" s="78"/>
    </row>
    <row r="165" spans="1:4" ht="15.6" thickTop="1" thickBot="1" x14ac:dyDescent="0.35">
      <c r="A165" s="78"/>
      <c r="B165" s="79"/>
      <c r="C165" s="77"/>
      <c r="D165" s="78"/>
    </row>
    <row r="166" spans="1:4" ht="15.6" thickTop="1" thickBot="1" x14ac:dyDescent="0.35">
      <c r="A166" s="78"/>
      <c r="B166" s="79"/>
      <c r="C166" s="77"/>
      <c r="D166" s="78"/>
    </row>
    <row r="167" spans="1:4" ht="15.6" thickTop="1" thickBot="1" x14ac:dyDescent="0.35">
      <c r="A167" s="78"/>
      <c r="B167" s="79"/>
      <c r="C167" s="77"/>
      <c r="D167" s="78"/>
    </row>
    <row r="168" spans="1:4" ht="15.6" thickTop="1" thickBot="1" x14ac:dyDescent="0.35">
      <c r="A168" s="78"/>
      <c r="B168" s="79"/>
      <c r="C168" s="77"/>
      <c r="D168" s="78"/>
    </row>
    <row r="169" spans="1:4" ht="15.6" thickTop="1" thickBot="1" x14ac:dyDescent="0.35">
      <c r="A169" s="78"/>
      <c r="B169" s="79"/>
      <c r="C169" s="77"/>
      <c r="D169" s="78"/>
    </row>
    <row r="170" spans="1:4" ht="15.6" thickTop="1" thickBot="1" x14ac:dyDescent="0.35">
      <c r="A170" s="78"/>
      <c r="B170" s="79"/>
      <c r="C170" s="77"/>
      <c r="D170" s="78"/>
    </row>
    <row r="171" spans="1:4" ht="15.6" thickTop="1" thickBot="1" x14ac:dyDescent="0.35">
      <c r="A171" s="78"/>
      <c r="B171" s="79"/>
      <c r="C171" s="77"/>
      <c r="D171" s="78"/>
    </row>
    <row r="172" spans="1:4" ht="15.6" thickTop="1" thickBot="1" x14ac:dyDescent="0.35">
      <c r="A172" s="78"/>
      <c r="B172" s="79"/>
      <c r="C172" s="77"/>
      <c r="D172" s="78"/>
    </row>
    <row r="173" spans="1:4" ht="15.6" thickTop="1" thickBot="1" x14ac:dyDescent="0.35">
      <c r="A173" s="78"/>
      <c r="B173" s="79"/>
      <c r="C173" s="77"/>
      <c r="D173" s="78"/>
    </row>
    <row r="174" spans="1:4" ht="15.6" thickTop="1" thickBot="1" x14ac:dyDescent="0.35">
      <c r="A174" s="78"/>
      <c r="B174" s="79"/>
      <c r="C174" s="77"/>
      <c r="D174" s="78"/>
    </row>
    <row r="175" spans="1:4" ht="15.6" thickTop="1" thickBot="1" x14ac:dyDescent="0.35">
      <c r="A175" s="78"/>
      <c r="B175" s="79"/>
      <c r="C175" s="77"/>
      <c r="D175" s="78"/>
    </row>
    <row r="176" spans="1:4" ht="15.6" thickTop="1" thickBot="1" x14ac:dyDescent="0.35">
      <c r="A176" s="78"/>
      <c r="B176" s="79"/>
      <c r="C176" s="77"/>
      <c r="D176" s="78"/>
    </row>
    <row r="177" spans="1:4" ht="15.6" thickTop="1" thickBot="1" x14ac:dyDescent="0.35">
      <c r="A177" s="78"/>
      <c r="B177" s="79"/>
      <c r="C177" s="77"/>
      <c r="D177" s="78"/>
    </row>
    <row r="178" spans="1:4" ht="15.6" thickTop="1" thickBot="1" x14ac:dyDescent="0.35">
      <c r="A178" s="78"/>
      <c r="B178" s="79"/>
      <c r="C178" s="77"/>
      <c r="D178" s="78"/>
    </row>
    <row r="179" spans="1:4" ht="15.6" thickTop="1" thickBot="1" x14ac:dyDescent="0.35">
      <c r="A179" s="78"/>
      <c r="B179" s="79"/>
      <c r="C179" s="77"/>
      <c r="D179" s="78"/>
    </row>
    <row r="180" spans="1:4" ht="15.6" thickTop="1" thickBot="1" x14ac:dyDescent="0.35">
      <c r="A180" s="78"/>
      <c r="B180" s="79"/>
      <c r="C180" s="77"/>
      <c r="D180" s="78"/>
    </row>
    <row r="181" spans="1:4" ht="15.6" thickTop="1" thickBot="1" x14ac:dyDescent="0.35">
      <c r="A181" s="78"/>
      <c r="B181" s="79"/>
      <c r="C181" s="77"/>
      <c r="D181" s="78"/>
    </row>
    <row r="182" spans="1:4" ht="15.6" thickTop="1" thickBot="1" x14ac:dyDescent="0.35">
      <c r="A182" s="78"/>
      <c r="B182" s="79"/>
      <c r="C182" s="77"/>
      <c r="D182" s="78"/>
    </row>
    <row r="183" spans="1:4" ht="15.6" thickTop="1" thickBot="1" x14ac:dyDescent="0.35">
      <c r="A183" s="78"/>
      <c r="B183" s="79"/>
      <c r="C183" s="77"/>
      <c r="D183" s="78"/>
    </row>
    <row r="184" spans="1:4" ht="15.6" thickTop="1" thickBot="1" x14ac:dyDescent="0.35">
      <c r="A184" s="78"/>
      <c r="B184" s="79"/>
      <c r="C184" s="78"/>
      <c r="D184" s="78"/>
    </row>
    <row r="185" spans="1:4" ht="15.6" thickTop="1" thickBot="1" x14ac:dyDescent="0.35">
      <c r="A185" s="78"/>
      <c r="B185" s="79"/>
      <c r="C185" s="78"/>
      <c r="D185" s="78"/>
    </row>
    <row r="186" spans="1:4" ht="15.6" thickTop="1" thickBot="1" x14ac:dyDescent="0.35">
      <c r="A186" s="78"/>
      <c r="B186" s="79"/>
      <c r="C186" s="78"/>
      <c r="D186" s="78"/>
    </row>
    <row r="187" spans="1:4" ht="15.6" thickTop="1" thickBot="1" x14ac:dyDescent="0.35">
      <c r="A187" s="78"/>
      <c r="B187" s="79"/>
      <c r="C187" s="78"/>
      <c r="D187" s="78"/>
    </row>
    <row r="188" spans="1:4" ht="15.6" thickTop="1" thickBot="1" x14ac:dyDescent="0.35">
      <c r="A188" s="78"/>
      <c r="B188" s="79"/>
      <c r="C188" s="78"/>
      <c r="D188" s="78"/>
    </row>
    <row r="189" spans="1:4" ht="15.6" thickTop="1" thickBot="1" x14ac:dyDescent="0.35">
      <c r="A189" s="78"/>
      <c r="B189" s="79"/>
      <c r="C189" s="78"/>
      <c r="D189" s="78"/>
    </row>
    <row r="190" spans="1:4" ht="15.6" thickTop="1" thickBot="1" x14ac:dyDescent="0.35">
      <c r="A190" s="78"/>
      <c r="B190" s="79"/>
      <c r="C190" s="78"/>
      <c r="D190" s="78"/>
    </row>
    <row r="191" spans="1:4" ht="15.6" thickTop="1" thickBot="1" x14ac:dyDescent="0.35">
      <c r="A191" s="78"/>
      <c r="B191" s="79"/>
      <c r="C191" s="78"/>
      <c r="D191" s="78"/>
    </row>
    <row r="192" spans="1:4" ht="15.6" thickTop="1" thickBot="1" x14ac:dyDescent="0.35">
      <c r="A192" s="78"/>
      <c r="B192" s="79"/>
      <c r="C192" s="78"/>
      <c r="D192" s="78"/>
    </row>
    <row r="193" spans="1:4" ht="15.6" thickTop="1" thickBot="1" x14ac:dyDescent="0.35">
      <c r="A193" s="78"/>
      <c r="B193" s="79"/>
      <c r="C193" s="78"/>
      <c r="D193" s="78"/>
    </row>
    <row r="194" spans="1:4" ht="15.6" thickTop="1" thickBot="1" x14ac:dyDescent="0.35">
      <c r="A194" s="78"/>
      <c r="B194" s="79"/>
      <c r="C194" s="78"/>
      <c r="D194" s="78"/>
    </row>
    <row r="195" spans="1:4" ht="15.6" thickTop="1" thickBot="1" x14ac:dyDescent="0.35">
      <c r="A195" s="78"/>
      <c r="B195" s="79"/>
      <c r="C195" s="78"/>
      <c r="D195" s="78"/>
    </row>
    <row r="196" spans="1:4" ht="15.6" thickTop="1" thickBot="1" x14ac:dyDescent="0.35">
      <c r="A196" s="78"/>
      <c r="B196" s="79"/>
      <c r="C196" s="78"/>
      <c r="D196" s="78"/>
    </row>
    <row r="197" spans="1:4" ht="15.6" thickTop="1" thickBot="1" x14ac:dyDescent="0.35">
      <c r="A197" s="78"/>
      <c r="B197" s="79"/>
      <c r="C197" s="78"/>
      <c r="D197" s="78"/>
    </row>
    <row r="198" spans="1:4" ht="15.6" thickTop="1" thickBot="1" x14ac:dyDescent="0.35">
      <c r="A198" s="78"/>
      <c r="B198" s="79"/>
      <c r="C198" s="78"/>
      <c r="D198" s="78"/>
    </row>
    <row r="199" spans="1:4" ht="15.6" thickTop="1" thickBot="1" x14ac:dyDescent="0.35">
      <c r="A199" s="78"/>
      <c r="B199" s="79"/>
      <c r="C199" s="78"/>
      <c r="D199" s="78"/>
    </row>
    <row r="200" spans="1:4" ht="15.6" thickTop="1" thickBot="1" x14ac:dyDescent="0.35">
      <c r="A200" s="78"/>
      <c r="B200" s="79"/>
      <c r="C200" s="78"/>
      <c r="D200" s="78"/>
    </row>
    <row r="201" spans="1:4" ht="15.6" thickTop="1" thickBot="1" x14ac:dyDescent="0.35">
      <c r="A201" s="78"/>
      <c r="B201" s="79"/>
      <c r="C201" s="78"/>
      <c r="D201" s="78"/>
    </row>
    <row r="202" spans="1:4" ht="15.6" thickTop="1" thickBot="1" x14ac:dyDescent="0.35">
      <c r="A202" s="78"/>
      <c r="B202" s="79"/>
      <c r="C202" s="78"/>
      <c r="D202" s="78"/>
    </row>
    <row r="203" spans="1:4" ht="15.6" thickTop="1" thickBot="1" x14ac:dyDescent="0.35">
      <c r="A203" s="78"/>
      <c r="B203" s="79"/>
      <c r="C203" s="78"/>
      <c r="D203" s="78"/>
    </row>
    <row r="204" spans="1:4" ht="15.6" thickTop="1" thickBot="1" x14ac:dyDescent="0.35">
      <c r="A204" s="78"/>
      <c r="B204" s="79"/>
      <c r="C204" s="78"/>
      <c r="D204" s="78"/>
    </row>
    <row r="205" spans="1:4" ht="15.6" thickTop="1" thickBot="1" x14ac:dyDescent="0.35">
      <c r="A205" s="78"/>
      <c r="B205" s="79"/>
      <c r="C205" s="78"/>
      <c r="D205" s="78"/>
    </row>
    <row r="206" spans="1:4" ht="15.6" thickTop="1" thickBot="1" x14ac:dyDescent="0.35">
      <c r="A206" s="78"/>
      <c r="B206" s="79"/>
      <c r="C206" s="78"/>
      <c r="D206" s="78"/>
    </row>
    <row r="207" spans="1:4" ht="15.6" thickTop="1" thickBot="1" x14ac:dyDescent="0.35">
      <c r="A207" s="78"/>
      <c r="B207" s="79"/>
      <c r="C207" s="78"/>
      <c r="D207" s="78"/>
    </row>
    <row r="208" spans="1:4" ht="15.6" thickTop="1" thickBot="1" x14ac:dyDescent="0.35">
      <c r="A208" s="78"/>
      <c r="B208" s="79"/>
      <c r="C208" s="78"/>
      <c r="D208" s="78"/>
    </row>
    <row r="209" spans="1:4" ht="15.6" thickTop="1" thickBot="1" x14ac:dyDescent="0.35">
      <c r="A209" s="78"/>
      <c r="B209" s="79"/>
      <c r="C209" s="78"/>
      <c r="D209" s="78"/>
    </row>
    <row r="210" spans="1:4" ht="15.6" thickTop="1" thickBot="1" x14ac:dyDescent="0.35">
      <c r="A210" s="78"/>
      <c r="B210" s="79"/>
      <c r="C210" s="78"/>
      <c r="D210" s="78"/>
    </row>
    <row r="211" spans="1:4" ht="15.6" thickTop="1" thickBot="1" x14ac:dyDescent="0.35">
      <c r="A211" s="78"/>
      <c r="B211" s="79"/>
      <c r="C211" s="78"/>
      <c r="D211" s="78"/>
    </row>
    <row r="212" spans="1:4" ht="15.6" thickTop="1" thickBot="1" x14ac:dyDescent="0.35">
      <c r="A212" s="78"/>
      <c r="B212" s="79"/>
      <c r="C212" s="78"/>
      <c r="D212" s="78"/>
    </row>
    <row r="213" spans="1:4" ht="15.6" thickTop="1" thickBot="1" x14ac:dyDescent="0.35">
      <c r="A213" s="78"/>
      <c r="B213" s="79"/>
      <c r="C213" s="78"/>
      <c r="D213" s="78"/>
    </row>
    <row r="214" spans="1:4" ht="15.6" thickTop="1" thickBot="1" x14ac:dyDescent="0.35">
      <c r="A214" s="78"/>
      <c r="B214" s="79"/>
      <c r="C214" s="78"/>
      <c r="D214" s="78"/>
    </row>
    <row r="215" spans="1:4" ht="15.6" thickTop="1" thickBot="1" x14ac:dyDescent="0.35">
      <c r="A215" s="78"/>
      <c r="B215" s="79"/>
      <c r="C215" s="78"/>
      <c r="D215" s="78"/>
    </row>
    <row r="216" spans="1:4" ht="15.6" thickTop="1" thickBot="1" x14ac:dyDescent="0.35">
      <c r="A216" s="78"/>
      <c r="B216" s="79"/>
      <c r="C216" s="78"/>
      <c r="D216" s="78"/>
    </row>
    <row r="217" spans="1:4" ht="15.6" thickTop="1" thickBot="1" x14ac:dyDescent="0.35">
      <c r="A217" s="78"/>
      <c r="B217" s="79"/>
      <c r="C217" s="78"/>
      <c r="D217" s="78"/>
    </row>
    <row r="218" spans="1:4" ht="15.6" thickTop="1" thickBot="1" x14ac:dyDescent="0.35">
      <c r="A218" s="78"/>
      <c r="B218" s="79"/>
      <c r="C218" s="78"/>
      <c r="D218" s="78"/>
    </row>
    <row r="219" spans="1:4" ht="15.6" thickTop="1" thickBot="1" x14ac:dyDescent="0.35">
      <c r="A219" s="78"/>
      <c r="B219" s="79"/>
      <c r="C219" s="78"/>
      <c r="D219" s="78"/>
    </row>
    <row r="220" spans="1:4" ht="15.6" thickTop="1" thickBot="1" x14ac:dyDescent="0.35">
      <c r="A220" s="78"/>
      <c r="B220" s="79"/>
      <c r="C220" s="78"/>
      <c r="D220" s="78"/>
    </row>
    <row r="221" spans="1:4" ht="15.6" thickTop="1" thickBot="1" x14ac:dyDescent="0.35">
      <c r="A221" s="78"/>
      <c r="B221" s="79"/>
      <c r="C221" s="78"/>
      <c r="D221" s="78"/>
    </row>
    <row r="222" spans="1:4" ht="15.6" thickTop="1" thickBot="1" x14ac:dyDescent="0.35">
      <c r="A222" s="78"/>
      <c r="B222" s="79"/>
      <c r="C222" s="78"/>
      <c r="D222" s="78"/>
    </row>
    <row r="223" spans="1:4" ht="15.6" thickTop="1" thickBot="1" x14ac:dyDescent="0.35">
      <c r="A223" s="78"/>
      <c r="B223" s="79"/>
      <c r="C223" s="78"/>
      <c r="D223" s="78"/>
    </row>
    <row r="224" spans="1:4" ht="15.6" thickTop="1" thickBot="1" x14ac:dyDescent="0.35">
      <c r="A224" s="78"/>
      <c r="B224" s="79"/>
      <c r="C224" s="78"/>
      <c r="D224" s="78"/>
    </row>
    <row r="225" spans="1:4" ht="15.6" thickTop="1" thickBot="1" x14ac:dyDescent="0.35">
      <c r="A225" s="78"/>
      <c r="B225" s="79"/>
      <c r="C225" s="78"/>
      <c r="D225" s="78"/>
    </row>
    <row r="226" spans="1:4" ht="15.6" thickTop="1" thickBot="1" x14ac:dyDescent="0.35">
      <c r="A226" s="78"/>
      <c r="B226" s="79"/>
      <c r="C226" s="78"/>
      <c r="D226" s="78"/>
    </row>
    <row r="227" spans="1:4" ht="15.6" thickTop="1" thickBot="1" x14ac:dyDescent="0.35">
      <c r="A227" s="78"/>
      <c r="B227" s="79"/>
      <c r="C227" s="78"/>
      <c r="D227" s="78"/>
    </row>
    <row r="228" spans="1:4" ht="15.6" thickTop="1" thickBot="1" x14ac:dyDescent="0.35">
      <c r="A228" s="78"/>
      <c r="B228" s="79"/>
      <c r="C228" s="78"/>
      <c r="D228" s="78"/>
    </row>
    <row r="229" spans="1:4" ht="15.6" thickTop="1" thickBot="1" x14ac:dyDescent="0.35">
      <c r="A229" s="78"/>
      <c r="B229" s="79"/>
      <c r="C229" s="78"/>
      <c r="D229" s="78"/>
    </row>
    <row r="230" spans="1:4" ht="15.6" thickTop="1" thickBot="1" x14ac:dyDescent="0.35">
      <c r="A230" s="78"/>
      <c r="B230" s="79"/>
      <c r="C230" s="78"/>
      <c r="D230" s="78"/>
    </row>
    <row r="231" spans="1:4" ht="15.6" thickTop="1" thickBot="1" x14ac:dyDescent="0.35">
      <c r="A231" s="78"/>
      <c r="B231" s="79"/>
      <c r="C231" s="78"/>
      <c r="D231" s="78"/>
    </row>
    <row r="232" spans="1:4" ht="15.6" thickTop="1" thickBot="1" x14ac:dyDescent="0.35">
      <c r="A232" s="78"/>
      <c r="B232" s="79"/>
      <c r="C232" s="78"/>
      <c r="D232" s="78"/>
    </row>
    <row r="233" spans="1:4" ht="15.6" thickTop="1" thickBot="1" x14ac:dyDescent="0.35">
      <c r="A233" s="78"/>
      <c r="B233" s="79"/>
      <c r="C233" s="78"/>
      <c r="D233" s="78"/>
    </row>
    <row r="234" spans="1:4" ht="15.6" thickTop="1" thickBot="1" x14ac:dyDescent="0.35">
      <c r="A234" s="78"/>
      <c r="B234" s="79"/>
      <c r="C234" s="78"/>
      <c r="D234" s="78"/>
    </row>
    <row r="235" spans="1:4" ht="15.6" thickTop="1" thickBot="1" x14ac:dyDescent="0.35">
      <c r="A235" s="78"/>
      <c r="B235" s="79"/>
      <c r="C235" s="78"/>
      <c r="D235" s="78"/>
    </row>
    <row r="236" spans="1:4" ht="15.6" thickTop="1" thickBot="1" x14ac:dyDescent="0.35">
      <c r="A236" s="78"/>
      <c r="B236" s="79"/>
      <c r="C236" s="78"/>
      <c r="D236" s="78"/>
    </row>
    <row r="237" spans="1:4" ht="15.6" thickTop="1" thickBot="1" x14ac:dyDescent="0.35">
      <c r="A237" s="78"/>
      <c r="B237" s="79"/>
      <c r="C237" s="78"/>
      <c r="D237" s="78"/>
    </row>
    <row r="238" spans="1:4" ht="15.6" thickTop="1" thickBot="1" x14ac:dyDescent="0.35">
      <c r="A238" s="78"/>
      <c r="B238" s="79"/>
      <c r="C238" s="78"/>
      <c r="D238" s="78"/>
    </row>
    <row r="239" spans="1:4" ht="15.6" thickTop="1" thickBot="1" x14ac:dyDescent="0.35">
      <c r="A239" s="78"/>
      <c r="B239" s="79"/>
      <c r="C239" s="78"/>
      <c r="D239" s="78"/>
    </row>
    <row r="240" spans="1:4" ht="15.6" thickTop="1" thickBot="1" x14ac:dyDescent="0.35">
      <c r="A240" s="78"/>
      <c r="B240" s="79"/>
      <c r="C240" s="78"/>
      <c r="D240" s="78"/>
    </row>
    <row r="241" spans="1:4" ht="15.6" thickTop="1" thickBot="1" x14ac:dyDescent="0.35">
      <c r="A241" s="78"/>
      <c r="B241" s="79"/>
      <c r="C241" s="78"/>
      <c r="D241" s="78"/>
    </row>
    <row r="242" spans="1:4" ht="15.6" thickTop="1" thickBot="1" x14ac:dyDescent="0.35">
      <c r="A242" s="78"/>
      <c r="B242" s="79"/>
      <c r="C242" s="78"/>
      <c r="D242" s="78"/>
    </row>
    <row r="243" spans="1:4" ht="15.6" thickTop="1" thickBot="1" x14ac:dyDescent="0.35">
      <c r="A243" s="78"/>
      <c r="B243" s="79"/>
      <c r="C243" s="78"/>
      <c r="D243" s="78"/>
    </row>
    <row r="244" spans="1:4" ht="15.6" thickTop="1" thickBot="1" x14ac:dyDescent="0.35">
      <c r="A244" s="78"/>
      <c r="B244" s="79"/>
      <c r="C244" s="78"/>
      <c r="D244" s="78"/>
    </row>
    <row r="245" spans="1:4" ht="15.6" thickTop="1" thickBot="1" x14ac:dyDescent="0.35">
      <c r="A245" s="78"/>
      <c r="B245" s="79"/>
      <c r="C245" s="78"/>
      <c r="D245" s="78"/>
    </row>
    <row r="246" spans="1:4" ht="15.6" thickTop="1" thickBot="1" x14ac:dyDescent="0.35">
      <c r="A246" s="78"/>
      <c r="B246" s="79"/>
      <c r="C246" s="78"/>
      <c r="D246" s="78"/>
    </row>
    <row r="247" spans="1:4" ht="15.6" thickTop="1" thickBot="1" x14ac:dyDescent="0.35">
      <c r="A247" s="78"/>
      <c r="B247" s="79"/>
      <c r="C247" s="78"/>
      <c r="D247" s="78"/>
    </row>
    <row r="248" spans="1:4" ht="15.6" thickTop="1" thickBot="1" x14ac:dyDescent="0.35">
      <c r="A248" s="78"/>
      <c r="B248" s="79"/>
      <c r="C248" s="78"/>
      <c r="D248" s="78"/>
    </row>
    <row r="249" spans="1:4" ht="15.6" thickTop="1" thickBot="1" x14ac:dyDescent="0.35">
      <c r="A249" s="78"/>
      <c r="B249" s="79"/>
      <c r="C249" s="78"/>
      <c r="D249" s="78"/>
    </row>
    <row r="250" spans="1:4" ht="15.6" thickTop="1" thickBot="1" x14ac:dyDescent="0.35">
      <c r="A250" s="78"/>
      <c r="B250" s="79"/>
      <c r="C250" s="78"/>
      <c r="D250" s="78"/>
    </row>
    <row r="251" spans="1:4" ht="15.6" thickTop="1" thickBot="1" x14ac:dyDescent="0.35">
      <c r="A251" s="78"/>
      <c r="B251" s="79"/>
      <c r="C251" s="78"/>
      <c r="D251" s="78"/>
    </row>
    <row r="252" spans="1:4" ht="15.6" thickTop="1" thickBot="1" x14ac:dyDescent="0.35">
      <c r="A252" s="78"/>
      <c r="B252" s="79"/>
      <c r="C252" s="78"/>
      <c r="D252" s="78"/>
    </row>
    <row r="253" spans="1:4" ht="15.6" thickTop="1" thickBot="1" x14ac:dyDescent="0.35">
      <c r="A253" s="78"/>
      <c r="B253" s="79"/>
      <c r="C253" s="78"/>
      <c r="D253" s="78"/>
    </row>
    <row r="254" spans="1:4" ht="15.6" thickTop="1" thickBot="1" x14ac:dyDescent="0.35">
      <c r="A254" s="78"/>
      <c r="B254" s="79"/>
      <c r="C254" s="78"/>
      <c r="D254" s="78"/>
    </row>
    <row r="255" spans="1:4" ht="15.6" thickTop="1" thickBot="1" x14ac:dyDescent="0.35">
      <c r="A255" s="78"/>
      <c r="B255" s="79"/>
      <c r="C255" s="78"/>
      <c r="D255" s="78"/>
    </row>
    <row r="256" spans="1:4" ht="15.6" thickTop="1" thickBot="1" x14ac:dyDescent="0.35">
      <c r="A256" s="78"/>
      <c r="B256" s="79"/>
      <c r="C256" s="78"/>
      <c r="D256" s="78"/>
    </row>
    <row r="257" spans="1:4" ht="15.6" thickTop="1" thickBot="1" x14ac:dyDescent="0.35">
      <c r="A257" s="78"/>
      <c r="B257" s="79"/>
      <c r="C257" s="78"/>
      <c r="D257" s="78"/>
    </row>
    <row r="258" spans="1:4" ht="15.6" thickTop="1" thickBot="1" x14ac:dyDescent="0.35">
      <c r="A258" s="78"/>
      <c r="B258" s="79"/>
      <c r="C258" s="78"/>
      <c r="D258" s="78"/>
    </row>
    <row r="259" spans="1:4" ht="15.6" thickTop="1" thickBot="1" x14ac:dyDescent="0.35">
      <c r="A259" s="78"/>
      <c r="B259" s="79"/>
      <c r="C259" s="78"/>
      <c r="D259" s="78"/>
    </row>
    <row r="260" spans="1:4" ht="15.6" thickTop="1" thickBot="1" x14ac:dyDescent="0.35">
      <c r="A260" s="78"/>
      <c r="B260" s="79"/>
      <c r="C260" s="78"/>
      <c r="D260" s="78"/>
    </row>
    <row r="261" spans="1:4" ht="15.6" thickTop="1" thickBot="1" x14ac:dyDescent="0.35">
      <c r="A261" s="78"/>
      <c r="B261" s="79"/>
      <c r="C261" s="78"/>
      <c r="D261" s="78"/>
    </row>
    <row r="262" spans="1:4" ht="15.6" thickTop="1" thickBot="1" x14ac:dyDescent="0.35">
      <c r="A262" s="78"/>
      <c r="B262" s="79"/>
      <c r="C262" s="78"/>
      <c r="D262" s="78"/>
    </row>
    <row r="263" spans="1:4" ht="15.6" thickTop="1" thickBot="1" x14ac:dyDescent="0.35">
      <c r="A263" s="78"/>
      <c r="B263" s="79"/>
      <c r="C263" s="78"/>
      <c r="D263" s="78"/>
    </row>
    <row r="264" spans="1:4" ht="15.6" thickTop="1" thickBot="1" x14ac:dyDescent="0.35">
      <c r="A264" s="78"/>
      <c r="B264" s="79"/>
      <c r="C264" s="78"/>
      <c r="D264" s="78"/>
    </row>
    <row r="265" spans="1:4" ht="15.6" thickTop="1" thickBot="1" x14ac:dyDescent="0.35">
      <c r="A265" s="78"/>
      <c r="B265" s="79"/>
      <c r="C265" s="78"/>
      <c r="D265" s="78"/>
    </row>
    <row r="266" spans="1:4" ht="15.6" thickTop="1" thickBot="1" x14ac:dyDescent="0.35">
      <c r="A266" s="78"/>
      <c r="B266" s="79"/>
      <c r="C266" s="78"/>
      <c r="D266" s="78"/>
    </row>
    <row r="267" spans="1:4" ht="15.6" thickTop="1" thickBot="1" x14ac:dyDescent="0.35">
      <c r="A267" s="78"/>
      <c r="B267" s="79"/>
      <c r="C267" s="78"/>
      <c r="D267" s="78"/>
    </row>
    <row r="268" spans="1:4" ht="15.6" thickTop="1" thickBot="1" x14ac:dyDescent="0.35">
      <c r="A268" s="78"/>
      <c r="B268" s="79"/>
      <c r="C268" s="78"/>
      <c r="D268" s="78"/>
    </row>
    <row r="269" spans="1:4" ht="15.6" thickTop="1" thickBot="1" x14ac:dyDescent="0.35">
      <c r="A269" s="78"/>
      <c r="B269" s="79"/>
      <c r="C269" s="78"/>
      <c r="D269" s="78"/>
    </row>
    <row r="270" spans="1:4" ht="15.6" thickTop="1" thickBot="1" x14ac:dyDescent="0.35">
      <c r="A270" s="78"/>
      <c r="B270" s="79"/>
      <c r="C270" s="78"/>
      <c r="D270" s="78"/>
    </row>
    <row r="271" spans="1:4" ht="15.6" thickTop="1" thickBot="1" x14ac:dyDescent="0.35">
      <c r="A271" s="78"/>
      <c r="B271" s="79"/>
      <c r="C271" s="78"/>
      <c r="D271" s="78"/>
    </row>
    <row r="272" spans="1:4" ht="15.6" thickTop="1" thickBot="1" x14ac:dyDescent="0.35">
      <c r="A272" s="78"/>
      <c r="B272" s="79"/>
      <c r="C272" s="78"/>
      <c r="D272" s="78"/>
    </row>
    <row r="273" spans="1:4" ht="15.6" thickTop="1" thickBot="1" x14ac:dyDescent="0.35">
      <c r="A273" s="78"/>
      <c r="B273" s="79"/>
      <c r="C273" s="78"/>
      <c r="D273" s="78"/>
    </row>
    <row r="274" spans="1:4" ht="15.6" thickTop="1" thickBot="1" x14ac:dyDescent="0.35">
      <c r="A274" s="78"/>
      <c r="B274" s="79"/>
      <c r="C274" s="78"/>
      <c r="D274" s="78"/>
    </row>
    <row r="275" spans="1:4" ht="15.6" thickTop="1" thickBot="1" x14ac:dyDescent="0.35">
      <c r="A275" s="78"/>
      <c r="B275" s="79"/>
      <c r="C275" s="78"/>
      <c r="D275" s="78"/>
    </row>
    <row r="276" spans="1:4" ht="15.6" thickTop="1" thickBot="1" x14ac:dyDescent="0.35">
      <c r="A276" s="78"/>
      <c r="B276" s="79"/>
      <c r="C276" s="78"/>
      <c r="D276" s="78"/>
    </row>
    <row r="277" spans="1:4" ht="15.6" thickTop="1" thickBot="1" x14ac:dyDescent="0.35">
      <c r="A277" s="78"/>
      <c r="B277" s="79"/>
      <c r="C277" s="78"/>
      <c r="D277" s="78"/>
    </row>
    <row r="278" spans="1:4" ht="15.6" thickTop="1" thickBot="1" x14ac:dyDescent="0.35">
      <c r="A278" s="78"/>
      <c r="B278" s="79"/>
      <c r="C278" s="78"/>
      <c r="D278" s="78"/>
    </row>
    <row r="279" spans="1:4" ht="15.6" thickTop="1" thickBot="1" x14ac:dyDescent="0.35">
      <c r="A279" s="78"/>
      <c r="B279" s="79"/>
      <c r="C279" s="78"/>
      <c r="D279" s="78"/>
    </row>
    <row r="280" spans="1:4" ht="15.6" thickTop="1" thickBot="1" x14ac:dyDescent="0.35">
      <c r="A280" s="78"/>
      <c r="B280" s="79"/>
      <c r="C280" s="78"/>
      <c r="D280" s="78"/>
    </row>
    <row r="281" spans="1:4" ht="15.6" thickTop="1" thickBot="1" x14ac:dyDescent="0.35">
      <c r="A281" s="78"/>
      <c r="B281" s="79"/>
      <c r="C281" s="78"/>
      <c r="D281" s="78"/>
    </row>
    <row r="282" spans="1:4" ht="15.6" thickTop="1" thickBot="1" x14ac:dyDescent="0.35">
      <c r="A282" s="78"/>
      <c r="B282" s="79"/>
      <c r="C282" s="78"/>
      <c r="D282" s="78"/>
    </row>
    <row r="283" spans="1:4" ht="15.6" thickTop="1" thickBot="1" x14ac:dyDescent="0.35">
      <c r="A283" s="78"/>
      <c r="B283" s="79"/>
      <c r="C283" s="78"/>
      <c r="D283" s="78"/>
    </row>
    <row r="284" spans="1:4" ht="15.6" thickTop="1" thickBot="1" x14ac:dyDescent="0.35">
      <c r="A284" s="78"/>
      <c r="B284" s="79"/>
      <c r="C284" s="78"/>
      <c r="D284" s="78"/>
    </row>
    <row r="285" spans="1:4" ht="15.6" thickTop="1" thickBot="1" x14ac:dyDescent="0.35">
      <c r="A285" s="78"/>
      <c r="B285" s="79"/>
      <c r="C285" s="78"/>
      <c r="D285" s="78"/>
    </row>
    <row r="286" spans="1:4" ht="15.6" thickTop="1" thickBot="1" x14ac:dyDescent="0.35">
      <c r="A286" s="78"/>
      <c r="B286" s="79"/>
      <c r="C286" s="78"/>
      <c r="D286" s="78"/>
    </row>
    <row r="287" spans="1:4" ht="15.6" thickTop="1" thickBot="1" x14ac:dyDescent="0.35">
      <c r="A287" s="78"/>
      <c r="B287" s="79"/>
      <c r="C287" s="78"/>
      <c r="D287" s="78"/>
    </row>
    <row r="288" spans="1:4" ht="15.6" thickTop="1" thickBot="1" x14ac:dyDescent="0.35">
      <c r="A288" s="78"/>
      <c r="B288" s="79"/>
      <c r="C288" s="78"/>
      <c r="D288" s="78"/>
    </row>
    <row r="289" spans="1:4" ht="15.6" thickTop="1" thickBot="1" x14ac:dyDescent="0.35">
      <c r="A289" s="78"/>
      <c r="B289" s="79"/>
      <c r="C289" s="78"/>
      <c r="D289" s="78"/>
    </row>
    <row r="290" spans="1:4" ht="15.6" thickTop="1" thickBot="1" x14ac:dyDescent="0.35">
      <c r="A290" s="78"/>
      <c r="B290" s="79"/>
      <c r="C290" s="78"/>
      <c r="D290" s="78"/>
    </row>
    <row r="291" spans="1:4" ht="15.6" thickTop="1" thickBot="1" x14ac:dyDescent="0.35">
      <c r="A291" s="78"/>
      <c r="B291" s="79"/>
      <c r="C291" s="78"/>
      <c r="D291" s="78"/>
    </row>
    <row r="292" spans="1:4" ht="15.6" thickTop="1" thickBot="1" x14ac:dyDescent="0.35">
      <c r="A292" s="78"/>
      <c r="B292" s="79"/>
      <c r="C292" s="78"/>
      <c r="D292" s="78"/>
    </row>
    <row r="293" spans="1:4" ht="15.6" thickTop="1" thickBot="1" x14ac:dyDescent="0.35">
      <c r="A293" s="78"/>
      <c r="B293" s="79"/>
      <c r="C293" s="78"/>
      <c r="D293" s="78"/>
    </row>
    <row r="294" spans="1:4" ht="15.6" thickTop="1" thickBot="1" x14ac:dyDescent="0.35">
      <c r="A294" s="78"/>
      <c r="B294" s="79"/>
      <c r="C294" s="78"/>
      <c r="D294" s="78"/>
    </row>
    <row r="295" spans="1:4" ht="15.6" thickTop="1" thickBot="1" x14ac:dyDescent="0.35">
      <c r="A295" s="78"/>
      <c r="B295" s="79"/>
      <c r="C295" s="78"/>
      <c r="D295" s="78"/>
    </row>
    <row r="296" spans="1:4" ht="15.6" thickTop="1" thickBot="1" x14ac:dyDescent="0.35">
      <c r="A296" s="78"/>
      <c r="B296" s="79"/>
      <c r="C296" s="78"/>
      <c r="D296" s="78"/>
    </row>
    <row r="297" spans="1:4" ht="15.6" thickTop="1" thickBot="1" x14ac:dyDescent="0.35">
      <c r="A297" s="78"/>
      <c r="B297" s="79"/>
      <c r="C297" s="78"/>
      <c r="D297" s="78"/>
    </row>
    <row r="298" spans="1:4" ht="15.6" thickTop="1" thickBot="1" x14ac:dyDescent="0.35">
      <c r="A298" s="78"/>
      <c r="B298" s="79"/>
      <c r="C298" s="78"/>
      <c r="D298" s="78"/>
    </row>
    <row r="299" spans="1:4" ht="15.6" thickTop="1" thickBot="1" x14ac:dyDescent="0.35">
      <c r="A299" s="78"/>
      <c r="B299" s="79"/>
      <c r="C299" s="78"/>
      <c r="D299" s="78"/>
    </row>
    <row r="300" spans="1:4" ht="15.6" thickTop="1" thickBot="1" x14ac:dyDescent="0.35">
      <c r="A300" s="78"/>
      <c r="B300" s="79"/>
      <c r="C300" s="78"/>
      <c r="D300" s="78"/>
    </row>
    <row r="301" spans="1:4" ht="15.6" thickTop="1" thickBot="1" x14ac:dyDescent="0.35">
      <c r="A301" s="78"/>
      <c r="B301" s="79"/>
      <c r="C301" s="78"/>
      <c r="D301" s="78"/>
    </row>
    <row r="302" spans="1:4" ht="15.6" thickTop="1" thickBot="1" x14ac:dyDescent="0.35">
      <c r="A302" s="78"/>
      <c r="B302" s="79"/>
      <c r="C302" s="78"/>
      <c r="D302" s="78"/>
    </row>
    <row r="303" spans="1:4" ht="15.6" thickTop="1" thickBot="1" x14ac:dyDescent="0.35">
      <c r="A303" s="78"/>
      <c r="B303" s="79"/>
      <c r="C303" s="78"/>
      <c r="D303" s="78"/>
    </row>
    <row r="304" spans="1:4" ht="15.6" thickTop="1" thickBot="1" x14ac:dyDescent="0.35">
      <c r="A304" s="78"/>
      <c r="B304" s="79"/>
      <c r="C304" s="78"/>
      <c r="D304" s="78"/>
    </row>
    <row r="305" spans="1:4" ht="15.6" thickTop="1" thickBot="1" x14ac:dyDescent="0.35">
      <c r="A305" s="78"/>
      <c r="B305" s="79"/>
      <c r="C305" s="78"/>
      <c r="D305" s="78"/>
    </row>
    <row r="306" spans="1:4" ht="15.6" thickTop="1" thickBot="1" x14ac:dyDescent="0.35">
      <c r="A306" s="78"/>
      <c r="B306" s="79"/>
      <c r="C306" s="78"/>
      <c r="D306" s="78"/>
    </row>
    <row r="307" spans="1:4" ht="15.6" thickTop="1" thickBot="1" x14ac:dyDescent="0.35">
      <c r="A307" s="78"/>
      <c r="B307" s="79"/>
      <c r="C307" s="78"/>
      <c r="D307" s="78"/>
    </row>
    <row r="308" spans="1:4" ht="15.6" thickTop="1" thickBot="1" x14ac:dyDescent="0.35">
      <c r="A308" s="78"/>
      <c r="B308" s="79"/>
      <c r="C308" s="78"/>
      <c r="D308" s="78"/>
    </row>
    <row r="309" spans="1:4" ht="15.6" thickTop="1" thickBot="1" x14ac:dyDescent="0.35">
      <c r="A309" s="78"/>
      <c r="B309" s="79"/>
      <c r="C309" s="78"/>
      <c r="D309" s="78"/>
    </row>
    <row r="310" spans="1:4" ht="15.6" thickTop="1" thickBot="1" x14ac:dyDescent="0.35">
      <c r="A310" s="78"/>
      <c r="B310" s="79"/>
      <c r="C310" s="78"/>
      <c r="D310" s="78"/>
    </row>
    <row r="311" spans="1:4" ht="15.6" thickTop="1" thickBot="1" x14ac:dyDescent="0.35">
      <c r="A311" s="78"/>
      <c r="B311" s="79"/>
      <c r="C311" s="78"/>
      <c r="D311" s="78"/>
    </row>
    <row r="312" spans="1:4" ht="15.6" thickTop="1" thickBot="1" x14ac:dyDescent="0.35">
      <c r="A312" s="78"/>
      <c r="B312" s="79"/>
      <c r="C312" s="78"/>
      <c r="D312" s="78"/>
    </row>
    <row r="313" spans="1:4" ht="15.6" thickTop="1" thickBot="1" x14ac:dyDescent="0.35">
      <c r="A313" s="78"/>
      <c r="B313" s="79"/>
      <c r="C313" s="78"/>
      <c r="D313" s="78"/>
    </row>
    <row r="314" spans="1:4" ht="15.6" thickTop="1" thickBot="1" x14ac:dyDescent="0.35">
      <c r="A314" s="78"/>
      <c r="B314" s="79"/>
      <c r="C314" s="78"/>
      <c r="D314" s="78"/>
    </row>
    <row r="315" spans="1:4" ht="15.6" thickTop="1" thickBot="1" x14ac:dyDescent="0.35">
      <c r="A315" s="78"/>
      <c r="B315" s="79"/>
      <c r="C315" s="78"/>
      <c r="D315" s="78"/>
    </row>
    <row r="316" spans="1:4" ht="15.6" thickTop="1" thickBot="1" x14ac:dyDescent="0.35">
      <c r="A316" s="78"/>
      <c r="B316" s="79"/>
      <c r="C316" s="78"/>
      <c r="D316" s="78"/>
    </row>
    <row r="317" spans="1:4" ht="15.6" thickTop="1" thickBot="1" x14ac:dyDescent="0.35">
      <c r="A317" s="78"/>
      <c r="B317" s="79"/>
      <c r="C317" s="78"/>
      <c r="D317" s="78"/>
    </row>
    <row r="318" spans="1:4" ht="15.6" thickTop="1" thickBot="1" x14ac:dyDescent="0.35">
      <c r="A318" s="78"/>
      <c r="B318" s="79"/>
      <c r="C318" s="78"/>
      <c r="D318" s="78"/>
    </row>
    <row r="319" spans="1:4" ht="15.6" thickTop="1" thickBot="1" x14ac:dyDescent="0.35">
      <c r="A319" s="78"/>
      <c r="B319" s="79"/>
      <c r="C319" s="78"/>
      <c r="D319" s="78"/>
    </row>
    <row r="320" spans="1:4" ht="15.6" thickTop="1" thickBot="1" x14ac:dyDescent="0.35">
      <c r="A320" s="78"/>
      <c r="B320" s="79"/>
      <c r="C320" s="78"/>
      <c r="D320" s="78"/>
    </row>
    <row r="321" spans="1:4" ht="15.6" thickTop="1" thickBot="1" x14ac:dyDescent="0.35">
      <c r="A321" s="78"/>
      <c r="B321" s="79"/>
      <c r="C321" s="78"/>
      <c r="D321" s="78"/>
    </row>
    <row r="322" spans="1:4" ht="15.6" thickTop="1" thickBot="1" x14ac:dyDescent="0.35">
      <c r="A322" s="78"/>
      <c r="B322" s="79"/>
      <c r="C322" s="78"/>
      <c r="D322" s="78"/>
    </row>
    <row r="323" spans="1:4" ht="15.6" thickTop="1" thickBot="1" x14ac:dyDescent="0.35">
      <c r="A323" s="78"/>
      <c r="B323" s="79"/>
      <c r="C323" s="78"/>
      <c r="D323" s="78"/>
    </row>
    <row r="324" spans="1:4" ht="15.6" thickTop="1" thickBot="1" x14ac:dyDescent="0.35">
      <c r="A324" s="78"/>
      <c r="B324" s="79"/>
      <c r="C324" s="78"/>
      <c r="D324" s="78"/>
    </row>
    <row r="325" spans="1:4" ht="15.6" thickTop="1" thickBot="1" x14ac:dyDescent="0.35">
      <c r="A325" s="78"/>
      <c r="B325" s="79"/>
      <c r="C325" s="78"/>
      <c r="D325" s="78"/>
    </row>
    <row r="326" spans="1:4" ht="15.6" thickTop="1" thickBot="1" x14ac:dyDescent="0.35">
      <c r="A326" s="78"/>
      <c r="B326" s="79"/>
      <c r="C326" s="78"/>
      <c r="D326" s="78"/>
    </row>
    <row r="327" spans="1:4" ht="15.6" thickTop="1" thickBot="1" x14ac:dyDescent="0.35">
      <c r="A327" s="78"/>
      <c r="B327" s="79"/>
      <c r="C327" s="78"/>
      <c r="D327" s="78"/>
    </row>
    <row r="328" spans="1:4" ht="15.6" thickTop="1" thickBot="1" x14ac:dyDescent="0.35">
      <c r="A328" s="78"/>
      <c r="B328" s="79"/>
      <c r="C328" s="78"/>
      <c r="D328" s="78"/>
    </row>
    <row r="329" spans="1:4" ht="15.6" thickTop="1" thickBot="1" x14ac:dyDescent="0.35">
      <c r="A329" s="78"/>
      <c r="B329" s="79"/>
      <c r="C329" s="78"/>
      <c r="D329" s="78"/>
    </row>
    <row r="330" spans="1:4" ht="15.6" thickTop="1" thickBot="1" x14ac:dyDescent="0.35">
      <c r="A330" s="78"/>
      <c r="B330" s="79"/>
      <c r="C330" s="78"/>
      <c r="D330" s="78"/>
    </row>
    <row r="331" spans="1:4" ht="15.6" thickTop="1" thickBot="1" x14ac:dyDescent="0.35">
      <c r="A331" s="78"/>
      <c r="B331" s="79"/>
      <c r="C331" s="78"/>
      <c r="D331" s="78"/>
    </row>
    <row r="332" spans="1:4" ht="15.6" thickTop="1" thickBot="1" x14ac:dyDescent="0.35">
      <c r="A332" s="78"/>
      <c r="B332" s="79"/>
      <c r="C332" s="78"/>
      <c r="D332" s="78"/>
    </row>
    <row r="333" spans="1:4" ht="15.6" thickTop="1" thickBot="1" x14ac:dyDescent="0.35">
      <c r="A333" s="78"/>
      <c r="B333" s="79"/>
      <c r="C333" s="78"/>
      <c r="D333" s="78"/>
    </row>
    <row r="334" spans="1:4" ht="15.6" thickTop="1" thickBot="1" x14ac:dyDescent="0.35">
      <c r="A334" s="78"/>
      <c r="B334" s="79"/>
      <c r="C334" s="78"/>
      <c r="D334" s="78"/>
    </row>
    <row r="335" spans="1:4" ht="15.6" thickTop="1" thickBot="1" x14ac:dyDescent="0.35">
      <c r="A335" s="78"/>
      <c r="B335" s="79"/>
      <c r="C335" s="78"/>
      <c r="D335" s="78"/>
    </row>
    <row r="336" spans="1:4" ht="15.6" thickTop="1" thickBot="1" x14ac:dyDescent="0.35">
      <c r="A336" s="78"/>
      <c r="B336" s="79"/>
      <c r="C336" s="78"/>
      <c r="D336" s="78"/>
    </row>
    <row r="337" spans="1:4" ht="15.6" thickTop="1" thickBot="1" x14ac:dyDescent="0.35">
      <c r="A337" s="78"/>
      <c r="B337" s="79"/>
      <c r="C337" s="78"/>
      <c r="D337" s="78"/>
    </row>
    <row r="338" spans="1:4" ht="15.6" thickTop="1" thickBot="1" x14ac:dyDescent="0.35">
      <c r="A338" s="78"/>
      <c r="B338" s="79"/>
      <c r="C338" s="78"/>
      <c r="D338" s="78"/>
    </row>
    <row r="339" spans="1:4" ht="15.6" thickTop="1" thickBot="1" x14ac:dyDescent="0.35">
      <c r="A339" s="78"/>
      <c r="B339" s="79"/>
      <c r="C339" s="78"/>
      <c r="D339" s="78"/>
    </row>
    <row r="340" spans="1:4" ht="15.6" thickTop="1" thickBot="1" x14ac:dyDescent="0.35">
      <c r="A340" s="78"/>
      <c r="B340" s="79"/>
      <c r="C340" s="78"/>
      <c r="D340" s="78"/>
    </row>
    <row r="341" spans="1:4" ht="15.6" thickTop="1" thickBot="1" x14ac:dyDescent="0.35">
      <c r="A341" s="78"/>
      <c r="B341" s="79"/>
      <c r="C341" s="78"/>
      <c r="D341" s="78"/>
    </row>
    <row r="342" spans="1:4" ht="15.6" thickTop="1" thickBot="1" x14ac:dyDescent="0.35">
      <c r="A342" s="78"/>
      <c r="B342" s="79"/>
      <c r="C342" s="78"/>
      <c r="D342" s="78"/>
    </row>
    <row r="343" spans="1:4" ht="15.6" thickTop="1" thickBot="1" x14ac:dyDescent="0.35">
      <c r="A343" s="78"/>
      <c r="B343" s="79"/>
      <c r="C343" s="78"/>
      <c r="D343" s="78"/>
    </row>
    <row r="344" spans="1:4" ht="15.6" thickTop="1" thickBot="1" x14ac:dyDescent="0.35">
      <c r="A344" s="78"/>
      <c r="B344" s="79"/>
      <c r="C344" s="78"/>
      <c r="D344" s="78"/>
    </row>
    <row r="345" spans="1:4" ht="15.6" thickTop="1" thickBot="1" x14ac:dyDescent="0.35">
      <c r="A345" s="78"/>
      <c r="B345" s="79"/>
      <c r="C345" s="78"/>
      <c r="D345" s="78"/>
    </row>
    <row r="346" spans="1:4" ht="15.6" thickTop="1" thickBot="1" x14ac:dyDescent="0.35">
      <c r="A346" s="78"/>
      <c r="B346" s="79"/>
      <c r="C346" s="78"/>
      <c r="D346" s="78"/>
    </row>
    <row r="347" spans="1:4" ht="15.6" thickTop="1" thickBot="1" x14ac:dyDescent="0.35">
      <c r="A347" s="78"/>
      <c r="B347" s="79"/>
      <c r="C347" s="78"/>
      <c r="D347" s="78"/>
    </row>
    <row r="348" spans="1:4" ht="15.6" thickTop="1" thickBot="1" x14ac:dyDescent="0.35">
      <c r="A348" s="78"/>
      <c r="B348" s="79"/>
      <c r="C348" s="78"/>
      <c r="D348" s="78"/>
    </row>
    <row r="349" spans="1:4" ht="15.6" thickTop="1" thickBot="1" x14ac:dyDescent="0.35">
      <c r="A349" s="78"/>
      <c r="B349" s="79"/>
      <c r="C349" s="78"/>
      <c r="D349" s="78"/>
    </row>
    <row r="350" spans="1:4" ht="15.6" thickTop="1" thickBot="1" x14ac:dyDescent="0.35">
      <c r="A350" s="78"/>
      <c r="B350" s="79"/>
      <c r="C350" s="78"/>
      <c r="D350" s="78"/>
    </row>
    <row r="351" spans="1:4" ht="15.6" thickTop="1" thickBot="1" x14ac:dyDescent="0.35">
      <c r="A351" s="78"/>
      <c r="B351" s="79"/>
      <c r="C351" s="78"/>
      <c r="D351" s="78"/>
    </row>
    <row r="352" spans="1:4" ht="15.6" thickTop="1" thickBot="1" x14ac:dyDescent="0.35">
      <c r="A352" s="78"/>
      <c r="B352" s="79"/>
      <c r="C352" s="78"/>
      <c r="D352" s="78"/>
    </row>
    <row r="353" spans="1:4" ht="15.6" thickTop="1" thickBot="1" x14ac:dyDescent="0.35">
      <c r="A353" s="78"/>
      <c r="B353" s="79"/>
      <c r="C353" s="78"/>
      <c r="D353" s="78"/>
    </row>
    <row r="354" spans="1:4" ht="15.6" thickTop="1" thickBot="1" x14ac:dyDescent="0.35">
      <c r="A354" s="78"/>
      <c r="B354" s="79"/>
      <c r="C354" s="78"/>
      <c r="D354" s="78"/>
    </row>
    <row r="355" spans="1:4" ht="15.6" thickTop="1" thickBot="1" x14ac:dyDescent="0.35">
      <c r="A355" s="78"/>
      <c r="B355" s="79"/>
      <c r="C355" s="78"/>
      <c r="D355" s="78"/>
    </row>
    <row r="356" spans="1:4" ht="15.6" thickTop="1" thickBot="1" x14ac:dyDescent="0.35">
      <c r="A356" s="78"/>
      <c r="B356" s="79"/>
      <c r="C356" s="78"/>
      <c r="D356" s="78"/>
    </row>
    <row r="357" spans="1:4" ht="15.6" thickTop="1" thickBot="1" x14ac:dyDescent="0.35">
      <c r="A357" s="78"/>
      <c r="B357" s="79"/>
      <c r="C357" s="78"/>
      <c r="D357" s="78"/>
    </row>
    <row r="358" spans="1:4" ht="15.6" thickTop="1" thickBot="1" x14ac:dyDescent="0.35">
      <c r="A358" s="78"/>
      <c r="B358" s="79"/>
      <c r="C358" s="78"/>
      <c r="D358" s="78"/>
    </row>
    <row r="359" spans="1:4" ht="15.6" thickTop="1" thickBot="1" x14ac:dyDescent="0.35">
      <c r="A359" s="78"/>
      <c r="B359" s="79"/>
      <c r="C359" s="78"/>
      <c r="D359" s="78"/>
    </row>
    <row r="360" spans="1:4" ht="15.6" thickTop="1" thickBot="1" x14ac:dyDescent="0.35">
      <c r="A360" s="78"/>
      <c r="B360" s="79"/>
      <c r="C360" s="78"/>
      <c r="D360" s="78"/>
    </row>
    <row r="361" spans="1:4" ht="15.6" thickTop="1" thickBot="1" x14ac:dyDescent="0.35">
      <c r="A361" s="78"/>
      <c r="B361" s="79"/>
      <c r="C361" s="78"/>
      <c r="D361" s="78"/>
    </row>
    <row r="362" spans="1:4" ht="15.6" thickTop="1" thickBot="1" x14ac:dyDescent="0.35">
      <c r="A362" s="78"/>
      <c r="B362" s="79"/>
      <c r="C362" s="78"/>
      <c r="D362" s="78"/>
    </row>
    <row r="363" spans="1:4" ht="15.6" thickTop="1" thickBot="1" x14ac:dyDescent="0.35">
      <c r="A363" s="78"/>
      <c r="B363" s="79"/>
      <c r="C363" s="78"/>
      <c r="D363" s="78"/>
    </row>
    <row r="364" spans="1:4" ht="15.6" thickTop="1" thickBot="1" x14ac:dyDescent="0.35">
      <c r="A364" s="78"/>
      <c r="B364" s="79"/>
      <c r="C364" s="78"/>
      <c r="D364" s="78"/>
    </row>
    <row r="365" spans="1:4" ht="15.6" thickTop="1" thickBot="1" x14ac:dyDescent="0.35">
      <c r="A365" s="78"/>
      <c r="B365" s="79"/>
      <c r="C365" s="78"/>
      <c r="D365" s="78"/>
    </row>
    <row r="366" spans="1:4" ht="15.6" thickTop="1" thickBot="1" x14ac:dyDescent="0.35">
      <c r="A366" s="78"/>
      <c r="B366" s="79"/>
      <c r="C366" s="78"/>
      <c r="D366" s="78"/>
    </row>
    <row r="367" spans="1:4" ht="15.6" thickTop="1" thickBot="1" x14ac:dyDescent="0.35">
      <c r="A367" s="78"/>
      <c r="B367" s="79"/>
      <c r="C367" s="78"/>
      <c r="D367" s="78"/>
    </row>
    <row r="368" spans="1:4" ht="15.6" thickTop="1" thickBot="1" x14ac:dyDescent="0.35">
      <c r="A368" s="78"/>
      <c r="B368" s="79"/>
      <c r="C368" s="78"/>
      <c r="D368" s="78"/>
    </row>
    <row r="369" spans="1:4" ht="15.6" thickTop="1" thickBot="1" x14ac:dyDescent="0.35">
      <c r="A369" s="78"/>
      <c r="B369" s="79"/>
      <c r="C369" s="78"/>
      <c r="D369" s="78"/>
    </row>
    <row r="370" spans="1:4" ht="15.6" thickTop="1" thickBot="1" x14ac:dyDescent="0.35">
      <c r="A370" s="78"/>
      <c r="B370" s="79"/>
      <c r="C370" s="78"/>
      <c r="D370" s="78"/>
    </row>
    <row r="371" spans="1:4" ht="15.6" thickTop="1" thickBot="1" x14ac:dyDescent="0.35">
      <c r="A371" s="78"/>
      <c r="B371" s="79"/>
      <c r="C371" s="78"/>
      <c r="D371" s="78"/>
    </row>
    <row r="372" spans="1:4" ht="15.6" thickTop="1" thickBot="1" x14ac:dyDescent="0.35">
      <c r="A372" s="78"/>
      <c r="B372" s="79"/>
      <c r="C372" s="78"/>
      <c r="D372" s="78"/>
    </row>
    <row r="373" spans="1:4" ht="15.6" thickTop="1" thickBot="1" x14ac:dyDescent="0.35">
      <c r="A373" s="78"/>
      <c r="B373" s="79"/>
      <c r="C373" s="78"/>
      <c r="D373" s="78"/>
    </row>
    <row r="374" spans="1:4" ht="15.6" thickTop="1" thickBot="1" x14ac:dyDescent="0.35">
      <c r="A374" s="78"/>
      <c r="B374" s="79"/>
      <c r="C374" s="78"/>
      <c r="D374" s="78"/>
    </row>
    <row r="375" spans="1:4" ht="15.6" thickTop="1" thickBot="1" x14ac:dyDescent="0.35">
      <c r="A375" s="78"/>
      <c r="B375" s="79"/>
      <c r="C375" s="78"/>
      <c r="D375" s="78"/>
    </row>
    <row r="376" spans="1:4" ht="15.6" thickTop="1" thickBot="1" x14ac:dyDescent="0.35">
      <c r="A376" s="78"/>
      <c r="B376" s="79"/>
      <c r="C376" s="78"/>
      <c r="D376" s="78"/>
    </row>
    <row r="377" spans="1:4" ht="15.6" thickTop="1" thickBot="1" x14ac:dyDescent="0.35">
      <c r="A377" s="78"/>
      <c r="B377" s="79"/>
      <c r="C377" s="78"/>
      <c r="D377" s="78"/>
    </row>
    <row r="378" spans="1:4" ht="15.6" thickTop="1" thickBot="1" x14ac:dyDescent="0.35">
      <c r="A378" s="78"/>
      <c r="B378" s="79"/>
      <c r="C378" s="78"/>
      <c r="D378" s="78"/>
    </row>
    <row r="379" spans="1:4" ht="15.6" thickTop="1" thickBot="1" x14ac:dyDescent="0.35">
      <c r="A379" s="78"/>
      <c r="B379" s="79"/>
      <c r="C379" s="78"/>
      <c r="D379" s="78"/>
    </row>
    <row r="380" spans="1:4" ht="15.6" thickTop="1" thickBot="1" x14ac:dyDescent="0.35">
      <c r="A380" s="78"/>
      <c r="B380" s="79"/>
      <c r="C380" s="78"/>
      <c r="D380" s="78"/>
    </row>
    <row r="381" spans="1:4" ht="15.6" thickTop="1" thickBot="1" x14ac:dyDescent="0.35">
      <c r="A381" s="78"/>
      <c r="B381" s="79"/>
      <c r="C381" s="78"/>
      <c r="D381" s="78"/>
    </row>
    <row r="382" spans="1:4" ht="15.6" thickTop="1" thickBot="1" x14ac:dyDescent="0.35">
      <c r="A382" s="78"/>
      <c r="B382" s="79"/>
      <c r="C382" s="78"/>
      <c r="D382" s="78"/>
    </row>
    <row r="383" spans="1:4" ht="15.6" thickTop="1" thickBot="1" x14ac:dyDescent="0.35">
      <c r="A383" s="78"/>
      <c r="B383" s="79"/>
      <c r="C383" s="78"/>
      <c r="D383" s="78"/>
    </row>
    <row r="384" spans="1:4" ht="15.6" thickTop="1" thickBot="1" x14ac:dyDescent="0.35">
      <c r="A384" s="78"/>
      <c r="B384" s="79"/>
      <c r="C384" s="78"/>
      <c r="D384" s="78"/>
    </row>
    <row r="385" spans="1:4" ht="15.6" thickTop="1" thickBot="1" x14ac:dyDescent="0.35">
      <c r="A385" s="78"/>
      <c r="B385" s="79"/>
      <c r="C385" s="78"/>
      <c r="D385" s="78"/>
    </row>
    <row r="386" spans="1:4" ht="15.6" thickTop="1" thickBot="1" x14ac:dyDescent="0.35">
      <c r="A386" s="78"/>
      <c r="B386" s="79"/>
      <c r="C386" s="78"/>
      <c r="D386" s="78"/>
    </row>
    <row r="387" spans="1:4" ht="15.6" thickTop="1" thickBot="1" x14ac:dyDescent="0.35">
      <c r="A387" s="78"/>
      <c r="B387" s="79"/>
      <c r="C387" s="78"/>
      <c r="D387" s="78"/>
    </row>
    <row r="388" spans="1:4" ht="15.6" thickTop="1" thickBot="1" x14ac:dyDescent="0.35">
      <c r="A388" s="78"/>
      <c r="B388" s="79"/>
      <c r="C388" s="78"/>
      <c r="D388" s="78"/>
    </row>
    <row r="389" spans="1:4" ht="15.6" thickTop="1" thickBot="1" x14ac:dyDescent="0.35">
      <c r="A389" s="78"/>
      <c r="B389" s="79"/>
      <c r="C389" s="78"/>
      <c r="D389" s="78"/>
    </row>
    <row r="390" spans="1:4" ht="15.6" thickTop="1" thickBot="1" x14ac:dyDescent="0.35">
      <c r="A390" s="78"/>
      <c r="B390" s="79"/>
      <c r="C390" s="78"/>
      <c r="D390" s="78"/>
    </row>
    <row r="391" spans="1:4" ht="15.6" thickTop="1" thickBot="1" x14ac:dyDescent="0.35">
      <c r="A391" s="78"/>
      <c r="B391" s="79"/>
      <c r="C391" s="78"/>
      <c r="D391" s="78"/>
    </row>
    <row r="392" spans="1:4" ht="15.6" thickTop="1" thickBot="1" x14ac:dyDescent="0.35">
      <c r="A392" s="78"/>
      <c r="B392" s="79"/>
      <c r="C392" s="78"/>
      <c r="D392" s="78"/>
    </row>
    <row r="393" spans="1:4" ht="15.6" thickTop="1" thickBot="1" x14ac:dyDescent="0.35">
      <c r="A393" s="78"/>
      <c r="B393" s="79"/>
      <c r="C393" s="78"/>
      <c r="D393" s="78"/>
    </row>
    <row r="394" spans="1:4" ht="15.6" thickTop="1" thickBot="1" x14ac:dyDescent="0.35">
      <c r="A394" s="78"/>
      <c r="B394" s="79"/>
      <c r="C394" s="78"/>
      <c r="D394" s="78"/>
    </row>
    <row r="395" spans="1:4" ht="15.6" thickTop="1" thickBot="1" x14ac:dyDescent="0.35">
      <c r="A395" s="78"/>
      <c r="B395" s="79"/>
      <c r="C395" s="78"/>
      <c r="D395" s="78"/>
    </row>
    <row r="396" spans="1:4" ht="15.6" thickTop="1" thickBot="1" x14ac:dyDescent="0.35">
      <c r="A396" s="78"/>
      <c r="B396" s="79"/>
      <c r="C396" s="78"/>
      <c r="D396" s="78"/>
    </row>
    <row r="397" spans="1:4" ht="15.6" thickTop="1" thickBot="1" x14ac:dyDescent="0.35">
      <c r="A397" s="78"/>
      <c r="B397" s="79"/>
      <c r="C397" s="78"/>
      <c r="D397" s="78"/>
    </row>
    <row r="398" spans="1:4" ht="15.6" thickTop="1" thickBot="1" x14ac:dyDescent="0.35">
      <c r="A398" s="78"/>
      <c r="B398" s="79"/>
      <c r="C398" s="78"/>
      <c r="D398" s="78"/>
    </row>
    <row r="399" spans="1:4" ht="15.6" thickTop="1" thickBot="1" x14ac:dyDescent="0.35">
      <c r="A399" s="78"/>
      <c r="B399" s="79"/>
      <c r="C399" s="78"/>
      <c r="D399" s="78"/>
    </row>
    <row r="400" spans="1:4" ht="15.6" thickTop="1" thickBot="1" x14ac:dyDescent="0.35">
      <c r="A400" s="78"/>
      <c r="B400" s="79"/>
      <c r="C400" s="78"/>
      <c r="D400" s="78"/>
    </row>
    <row r="401" spans="1:4" ht="15.6" thickTop="1" thickBot="1" x14ac:dyDescent="0.35">
      <c r="A401" s="78"/>
      <c r="B401" s="79"/>
      <c r="C401" s="78"/>
      <c r="D401" s="78"/>
    </row>
    <row r="402" spans="1:4" ht="15.6" thickTop="1" thickBot="1" x14ac:dyDescent="0.35">
      <c r="A402" s="78"/>
      <c r="B402" s="79"/>
      <c r="C402" s="78"/>
      <c r="D402" s="78"/>
    </row>
    <row r="403" spans="1:4" ht="15.6" thickTop="1" thickBot="1" x14ac:dyDescent="0.35">
      <c r="A403" s="78"/>
      <c r="B403" s="79"/>
      <c r="C403" s="78"/>
      <c r="D403" s="78"/>
    </row>
    <row r="404" spans="1:4" ht="15.6" thickTop="1" thickBot="1" x14ac:dyDescent="0.35">
      <c r="A404" s="78"/>
      <c r="B404" s="79"/>
      <c r="C404" s="78"/>
      <c r="D404" s="78"/>
    </row>
    <row r="405" spans="1:4" ht="15.6" thickTop="1" thickBot="1" x14ac:dyDescent="0.35">
      <c r="A405" s="78"/>
      <c r="B405" s="79"/>
      <c r="C405" s="78"/>
      <c r="D405" s="78"/>
    </row>
    <row r="406" spans="1:4" ht="15.6" thickTop="1" thickBot="1" x14ac:dyDescent="0.35">
      <c r="A406" s="78"/>
      <c r="B406" s="79"/>
      <c r="C406" s="78"/>
      <c r="D406" s="78"/>
    </row>
    <row r="407" spans="1:4" ht="15.6" thickTop="1" thickBot="1" x14ac:dyDescent="0.35">
      <c r="A407" s="78"/>
      <c r="B407" s="79"/>
      <c r="C407" s="78"/>
      <c r="D407" s="78"/>
    </row>
    <row r="408" spans="1:4" ht="15.6" thickTop="1" thickBot="1" x14ac:dyDescent="0.35">
      <c r="A408" s="78"/>
      <c r="B408" s="79"/>
      <c r="C408" s="78"/>
      <c r="D408" s="78"/>
    </row>
    <row r="409" spans="1:4" ht="15.6" thickTop="1" thickBot="1" x14ac:dyDescent="0.35">
      <c r="A409" s="78"/>
      <c r="B409" s="79"/>
      <c r="C409" s="78"/>
      <c r="D409" s="78"/>
    </row>
    <row r="410" spans="1:4" ht="15.6" thickTop="1" thickBot="1" x14ac:dyDescent="0.35">
      <c r="A410" s="78"/>
      <c r="B410" s="79"/>
      <c r="C410" s="78"/>
      <c r="D410" s="78"/>
    </row>
    <row r="411" spans="1:4" ht="15.6" thickTop="1" thickBot="1" x14ac:dyDescent="0.35">
      <c r="A411" s="78"/>
      <c r="B411" s="79"/>
      <c r="C411" s="78"/>
      <c r="D411" s="78"/>
    </row>
    <row r="412" spans="1:4" ht="15.6" thickTop="1" thickBot="1" x14ac:dyDescent="0.35">
      <c r="A412" s="78"/>
      <c r="B412" s="79"/>
      <c r="C412" s="78"/>
      <c r="D412" s="78"/>
    </row>
    <row r="413" spans="1:4" ht="15.6" thickTop="1" thickBot="1" x14ac:dyDescent="0.35">
      <c r="A413" s="78"/>
      <c r="B413" s="79"/>
      <c r="C413" s="78"/>
      <c r="D413" s="78"/>
    </row>
    <row r="414" spans="1:4" ht="15.6" thickTop="1" thickBot="1" x14ac:dyDescent="0.35">
      <c r="A414" s="78"/>
      <c r="B414" s="79"/>
      <c r="C414" s="78"/>
      <c r="D414" s="78"/>
    </row>
    <row r="415" spans="1:4" ht="15.6" thickTop="1" thickBot="1" x14ac:dyDescent="0.35">
      <c r="A415" s="78"/>
      <c r="B415" s="79"/>
      <c r="C415" s="78"/>
      <c r="D415" s="78"/>
    </row>
    <row r="416" spans="1:4" ht="15.6" thickTop="1" thickBot="1" x14ac:dyDescent="0.35">
      <c r="A416" s="78"/>
      <c r="B416" s="79"/>
      <c r="C416" s="78"/>
      <c r="D416" s="78"/>
    </row>
    <row r="417" spans="1:4" ht="15.6" thickTop="1" thickBot="1" x14ac:dyDescent="0.35">
      <c r="A417" s="78"/>
      <c r="B417" s="79"/>
      <c r="C417" s="78"/>
      <c r="D417" s="78"/>
    </row>
    <row r="418" spans="1:4" ht="15.6" thickTop="1" thickBot="1" x14ac:dyDescent="0.35">
      <c r="A418" s="78"/>
      <c r="B418" s="79"/>
      <c r="C418" s="78"/>
      <c r="D418" s="78"/>
    </row>
    <row r="419" spans="1:4" ht="15.6" thickTop="1" thickBot="1" x14ac:dyDescent="0.35">
      <c r="A419" s="78"/>
      <c r="B419" s="79"/>
      <c r="C419" s="78"/>
      <c r="D419" s="78"/>
    </row>
    <row r="420" spans="1:4" ht="15.6" thickTop="1" thickBot="1" x14ac:dyDescent="0.35">
      <c r="A420" s="78"/>
      <c r="B420" s="79"/>
      <c r="C420" s="78"/>
      <c r="D420" s="78"/>
    </row>
    <row r="421" spans="1:4" ht="15.6" thickTop="1" thickBot="1" x14ac:dyDescent="0.35">
      <c r="A421" s="78"/>
      <c r="B421" s="79"/>
      <c r="C421" s="78"/>
      <c r="D421" s="78"/>
    </row>
    <row r="422" spans="1:4" ht="15.6" thickTop="1" thickBot="1" x14ac:dyDescent="0.35">
      <c r="A422" s="78"/>
      <c r="B422" s="79"/>
      <c r="C422" s="78"/>
      <c r="D422" s="78"/>
    </row>
    <row r="423" spans="1:4" ht="15.6" thickTop="1" thickBot="1" x14ac:dyDescent="0.35">
      <c r="A423" s="78"/>
      <c r="B423" s="79"/>
      <c r="C423" s="78"/>
      <c r="D423" s="78"/>
    </row>
    <row r="424" spans="1:4" ht="15.6" thickTop="1" thickBot="1" x14ac:dyDescent="0.35">
      <c r="A424" s="78"/>
      <c r="B424" s="79"/>
      <c r="C424" s="78"/>
      <c r="D424" s="78"/>
    </row>
    <row r="425" spans="1:4" ht="15.6" thickTop="1" thickBot="1" x14ac:dyDescent="0.35">
      <c r="A425" s="78"/>
      <c r="B425" s="79"/>
      <c r="C425" s="78"/>
      <c r="D425" s="78"/>
    </row>
    <row r="426" spans="1:4" ht="15.6" thickTop="1" thickBot="1" x14ac:dyDescent="0.35">
      <c r="A426" s="78"/>
      <c r="B426" s="79"/>
      <c r="C426" s="78"/>
      <c r="D426" s="78"/>
    </row>
    <row r="427" spans="1:4" ht="15.6" thickTop="1" thickBot="1" x14ac:dyDescent="0.35">
      <c r="A427" s="78"/>
      <c r="B427" s="79"/>
      <c r="C427" s="78"/>
      <c r="D427" s="78"/>
    </row>
    <row r="428" spans="1:4" ht="15.6" thickTop="1" thickBot="1" x14ac:dyDescent="0.35">
      <c r="A428" s="78"/>
      <c r="B428" s="79"/>
      <c r="C428" s="78"/>
      <c r="D428" s="78"/>
    </row>
    <row r="429" spans="1:4" ht="15.6" thickTop="1" thickBot="1" x14ac:dyDescent="0.35">
      <c r="A429" s="78"/>
      <c r="B429" s="79"/>
      <c r="C429" s="78"/>
      <c r="D429" s="78"/>
    </row>
    <row r="430" spans="1:4" ht="15.6" thickTop="1" thickBot="1" x14ac:dyDescent="0.35">
      <c r="A430" s="78"/>
      <c r="B430" s="79"/>
      <c r="C430" s="78"/>
      <c r="D430" s="78"/>
    </row>
    <row r="431" spans="1:4" ht="15.6" thickTop="1" thickBot="1" x14ac:dyDescent="0.35">
      <c r="A431" s="78"/>
      <c r="B431" s="79"/>
      <c r="C431" s="78"/>
      <c r="D431" s="78"/>
    </row>
    <row r="432" spans="1:4" ht="15.6" thickTop="1" thickBot="1" x14ac:dyDescent="0.35">
      <c r="A432" s="78"/>
      <c r="B432" s="79"/>
      <c r="C432" s="78"/>
      <c r="D432" s="78"/>
    </row>
    <row r="433" spans="1:4" ht="15.6" thickTop="1" thickBot="1" x14ac:dyDescent="0.35">
      <c r="A433" s="78"/>
      <c r="B433" s="79"/>
      <c r="C433" s="78"/>
      <c r="D433" s="78"/>
    </row>
    <row r="434" spans="1:4" ht="15.6" thickTop="1" thickBot="1" x14ac:dyDescent="0.35">
      <c r="A434" s="78"/>
      <c r="B434" s="79"/>
      <c r="C434" s="78"/>
      <c r="D434" s="78"/>
    </row>
    <row r="435" spans="1:4" ht="15.6" thickTop="1" thickBot="1" x14ac:dyDescent="0.35">
      <c r="A435" s="78"/>
      <c r="B435" s="79"/>
      <c r="C435" s="78"/>
      <c r="D435" s="78"/>
    </row>
    <row r="436" spans="1:4" ht="15.6" thickTop="1" thickBot="1" x14ac:dyDescent="0.35">
      <c r="A436" s="78"/>
      <c r="B436" s="79"/>
      <c r="C436" s="78"/>
      <c r="D436" s="78"/>
    </row>
    <row r="437" spans="1:4" ht="15.6" thickTop="1" thickBot="1" x14ac:dyDescent="0.35">
      <c r="A437" s="78"/>
      <c r="B437" s="79"/>
      <c r="C437" s="78"/>
      <c r="D437" s="78"/>
    </row>
    <row r="438" spans="1:4" ht="15.6" thickTop="1" thickBot="1" x14ac:dyDescent="0.35">
      <c r="A438" s="78"/>
      <c r="B438" s="79"/>
      <c r="C438" s="78"/>
      <c r="D438" s="78"/>
    </row>
    <row r="439" spans="1:4" ht="15.6" thickTop="1" thickBot="1" x14ac:dyDescent="0.35">
      <c r="A439" s="78"/>
      <c r="B439" s="79"/>
      <c r="C439" s="78"/>
      <c r="D439" s="78"/>
    </row>
    <row r="440" spans="1:4" ht="15.6" thickTop="1" thickBot="1" x14ac:dyDescent="0.35">
      <c r="A440" s="78"/>
      <c r="B440" s="79"/>
      <c r="C440" s="78"/>
      <c r="D440" s="78"/>
    </row>
    <row r="441" spans="1:4" ht="15.6" thickTop="1" thickBot="1" x14ac:dyDescent="0.35">
      <c r="A441" s="78"/>
      <c r="B441" s="79"/>
      <c r="C441" s="78"/>
      <c r="D441" s="78"/>
    </row>
    <row r="442" spans="1:4" ht="15.6" thickTop="1" thickBot="1" x14ac:dyDescent="0.35">
      <c r="A442" s="78"/>
      <c r="B442" s="79"/>
      <c r="C442" s="78"/>
      <c r="D442" s="78"/>
    </row>
    <row r="443" spans="1:4" ht="15.6" thickTop="1" thickBot="1" x14ac:dyDescent="0.35">
      <c r="A443" s="78"/>
      <c r="B443" s="79"/>
      <c r="C443" s="78"/>
      <c r="D443" s="78"/>
    </row>
    <row r="444" spans="1:4" ht="15.6" thickTop="1" thickBot="1" x14ac:dyDescent="0.35">
      <c r="A444" s="78"/>
      <c r="B444" s="79"/>
      <c r="C444" s="78"/>
      <c r="D444" s="78"/>
    </row>
    <row r="445" spans="1:4" ht="15.6" thickTop="1" thickBot="1" x14ac:dyDescent="0.35">
      <c r="A445" s="78"/>
      <c r="B445" s="79"/>
      <c r="C445" s="78"/>
      <c r="D445" s="78"/>
    </row>
    <row r="446" spans="1:4" ht="15.6" thickTop="1" thickBot="1" x14ac:dyDescent="0.35">
      <c r="A446" s="78"/>
      <c r="B446" s="79"/>
      <c r="C446" s="78"/>
      <c r="D446" s="78"/>
    </row>
    <row r="447" spans="1:4" ht="15.6" thickTop="1" thickBot="1" x14ac:dyDescent="0.35">
      <c r="A447" s="78"/>
      <c r="B447" s="79"/>
      <c r="C447" s="78"/>
      <c r="D447" s="78"/>
    </row>
    <row r="448" spans="1:4" ht="15.6" thickTop="1" thickBot="1" x14ac:dyDescent="0.35">
      <c r="A448" s="78"/>
      <c r="B448" s="79"/>
      <c r="C448" s="78"/>
      <c r="D448" s="78"/>
    </row>
    <row r="449" spans="1:4" ht="15.6" thickTop="1" thickBot="1" x14ac:dyDescent="0.35">
      <c r="A449" s="78"/>
      <c r="B449" s="79"/>
      <c r="C449" s="78"/>
      <c r="D449" s="78"/>
    </row>
    <row r="450" spans="1:4" ht="15.6" thickTop="1" thickBot="1" x14ac:dyDescent="0.35">
      <c r="A450" s="78"/>
      <c r="B450" s="79"/>
      <c r="C450" s="78"/>
      <c r="D450" s="78"/>
    </row>
    <row r="451" spans="1:4" ht="15.6" thickTop="1" thickBot="1" x14ac:dyDescent="0.35">
      <c r="A451" s="78"/>
      <c r="B451" s="79"/>
      <c r="C451" s="78"/>
      <c r="D451" s="78"/>
    </row>
    <row r="452" spans="1:4" ht="15.6" thickTop="1" thickBot="1" x14ac:dyDescent="0.35">
      <c r="A452" s="78"/>
      <c r="B452" s="79"/>
      <c r="C452" s="78"/>
      <c r="D452" s="78"/>
    </row>
    <row r="453" spans="1:4" ht="15.6" thickTop="1" thickBot="1" x14ac:dyDescent="0.35">
      <c r="A453" s="78"/>
      <c r="B453" s="79"/>
      <c r="C453" s="78"/>
      <c r="D453" s="78"/>
    </row>
    <row r="454" spans="1:4" ht="15.6" thickTop="1" thickBot="1" x14ac:dyDescent="0.35">
      <c r="A454" s="78"/>
      <c r="B454" s="79"/>
      <c r="C454" s="78"/>
      <c r="D454" s="78"/>
    </row>
    <row r="455" spans="1:4" ht="15.6" thickTop="1" thickBot="1" x14ac:dyDescent="0.35">
      <c r="A455" s="78"/>
      <c r="B455" s="79"/>
      <c r="C455" s="78"/>
      <c r="D455" s="78"/>
    </row>
    <row r="456" spans="1:4" ht="15.6" thickTop="1" thickBot="1" x14ac:dyDescent="0.35">
      <c r="A456" s="78"/>
      <c r="B456" s="79"/>
      <c r="C456" s="78"/>
      <c r="D456" s="78"/>
    </row>
    <row r="457" spans="1:4" ht="15.6" thickTop="1" thickBot="1" x14ac:dyDescent="0.35">
      <c r="A457" s="78"/>
      <c r="B457" s="79"/>
      <c r="C457" s="78"/>
      <c r="D457" s="78"/>
    </row>
    <row r="458" spans="1:4" ht="15.6" thickTop="1" thickBot="1" x14ac:dyDescent="0.35">
      <c r="A458" s="78"/>
      <c r="B458" s="79"/>
      <c r="C458" s="78"/>
      <c r="D458" s="78"/>
    </row>
    <row r="459" spans="1:4" ht="15.6" thickTop="1" thickBot="1" x14ac:dyDescent="0.35">
      <c r="A459" s="78"/>
      <c r="B459" s="79"/>
      <c r="C459" s="78"/>
      <c r="D459" s="78"/>
    </row>
    <row r="460" spans="1:4" ht="15.6" thickTop="1" thickBot="1" x14ac:dyDescent="0.35">
      <c r="A460" s="78"/>
      <c r="B460" s="79"/>
      <c r="C460" s="78"/>
      <c r="D460" s="78"/>
    </row>
    <row r="461" spans="1:4" ht="15.6" thickTop="1" thickBot="1" x14ac:dyDescent="0.35">
      <c r="A461" s="78"/>
      <c r="B461" s="79"/>
      <c r="C461" s="78"/>
      <c r="D461" s="78"/>
    </row>
    <row r="462" spans="1:4" ht="15.6" thickTop="1" thickBot="1" x14ac:dyDescent="0.35">
      <c r="A462" s="78"/>
      <c r="B462" s="79"/>
      <c r="C462" s="78"/>
      <c r="D462" s="78"/>
    </row>
    <row r="463" spans="1:4" ht="15.6" thickTop="1" thickBot="1" x14ac:dyDescent="0.35">
      <c r="A463" s="78"/>
      <c r="B463" s="79"/>
      <c r="C463" s="78"/>
      <c r="D463" s="78"/>
    </row>
    <row r="464" spans="1:4" ht="15.6" thickTop="1" thickBot="1" x14ac:dyDescent="0.35">
      <c r="A464" s="78"/>
      <c r="B464" s="79"/>
      <c r="C464" s="78"/>
      <c r="D464" s="78"/>
    </row>
    <row r="465" spans="1:4" ht="15.6" thickTop="1" thickBot="1" x14ac:dyDescent="0.35">
      <c r="A465" s="78"/>
      <c r="B465" s="79"/>
      <c r="C465" s="78"/>
      <c r="D465" s="78"/>
    </row>
    <row r="466" spans="1:4" ht="15.6" thickTop="1" thickBot="1" x14ac:dyDescent="0.35">
      <c r="A466" s="78"/>
      <c r="B466" s="79"/>
      <c r="C466" s="78"/>
      <c r="D466" s="78"/>
    </row>
    <row r="467" spans="1:4" ht="15.6" thickTop="1" thickBot="1" x14ac:dyDescent="0.35">
      <c r="A467" s="78"/>
      <c r="B467" s="79"/>
      <c r="C467" s="78"/>
      <c r="D467" s="78"/>
    </row>
    <row r="468" spans="1:4" ht="15.6" thickTop="1" thickBot="1" x14ac:dyDescent="0.35">
      <c r="A468" s="78"/>
      <c r="B468" s="79"/>
      <c r="C468" s="78"/>
      <c r="D468" s="78"/>
    </row>
    <row r="469" spans="1:4" ht="15.6" thickTop="1" thickBot="1" x14ac:dyDescent="0.35">
      <c r="A469" s="78"/>
      <c r="B469" s="79"/>
      <c r="C469" s="78"/>
      <c r="D469" s="78"/>
    </row>
    <row r="470" spans="1:4" ht="15.6" thickTop="1" thickBot="1" x14ac:dyDescent="0.35">
      <c r="A470" s="78"/>
      <c r="B470" s="79"/>
      <c r="C470" s="78"/>
      <c r="D470" s="78"/>
    </row>
    <row r="471" spans="1:4" ht="15.6" thickTop="1" thickBot="1" x14ac:dyDescent="0.35">
      <c r="A471" s="78"/>
      <c r="B471" s="79"/>
      <c r="C471" s="78"/>
      <c r="D471" s="78"/>
    </row>
    <row r="472" spans="1:4" ht="15.6" thickTop="1" thickBot="1" x14ac:dyDescent="0.35">
      <c r="A472" s="78"/>
      <c r="B472" s="79"/>
      <c r="C472" s="78"/>
      <c r="D472" s="78"/>
    </row>
    <row r="473" spans="1:4" ht="15.6" thickTop="1" thickBot="1" x14ac:dyDescent="0.35">
      <c r="A473" s="78"/>
      <c r="B473" s="79"/>
      <c r="C473" s="78"/>
      <c r="D473" s="78"/>
    </row>
    <row r="474" spans="1:4" ht="15.6" thickTop="1" thickBot="1" x14ac:dyDescent="0.35">
      <c r="A474" s="78"/>
      <c r="B474" s="79"/>
      <c r="C474" s="78"/>
      <c r="D474" s="78"/>
    </row>
    <row r="475" spans="1:4" ht="15.6" thickTop="1" thickBot="1" x14ac:dyDescent="0.35">
      <c r="A475" s="78"/>
      <c r="B475" s="79"/>
      <c r="C475" s="78"/>
      <c r="D475" s="78"/>
    </row>
    <row r="476" spans="1:4" ht="15.6" thickTop="1" thickBot="1" x14ac:dyDescent="0.35">
      <c r="A476" s="78"/>
      <c r="B476" s="79"/>
      <c r="C476" s="78"/>
      <c r="D476" s="78"/>
    </row>
    <row r="477" spans="1:4" ht="15.6" thickTop="1" thickBot="1" x14ac:dyDescent="0.35">
      <c r="A477" s="78"/>
      <c r="B477" s="79"/>
      <c r="C477" s="78"/>
      <c r="D477" s="78"/>
    </row>
    <row r="478" spans="1:4" ht="15.6" thickTop="1" thickBot="1" x14ac:dyDescent="0.35">
      <c r="A478" s="78"/>
      <c r="B478" s="79"/>
      <c r="C478" s="78"/>
      <c r="D478" s="78"/>
    </row>
    <row r="479" spans="1:4" ht="15.6" thickTop="1" thickBot="1" x14ac:dyDescent="0.35">
      <c r="A479" s="78"/>
      <c r="B479" s="79"/>
      <c r="C479" s="78"/>
      <c r="D479" s="78"/>
    </row>
    <row r="480" spans="1:4" ht="15.6" thickTop="1" thickBot="1" x14ac:dyDescent="0.35">
      <c r="A480" s="78"/>
      <c r="B480" s="79"/>
      <c r="C480" s="78"/>
      <c r="D480" s="78"/>
    </row>
    <row r="481" spans="1:4" ht="15.6" thickTop="1" thickBot="1" x14ac:dyDescent="0.35">
      <c r="A481" s="78"/>
      <c r="B481" s="79"/>
      <c r="C481" s="78"/>
      <c r="D481" s="78"/>
    </row>
    <row r="482" spans="1:4" ht="15.6" thickTop="1" thickBot="1" x14ac:dyDescent="0.35">
      <c r="A482" s="78"/>
      <c r="B482" s="79"/>
      <c r="C482" s="78"/>
      <c r="D482" s="78"/>
    </row>
    <row r="483" spans="1:4" ht="15.6" thickTop="1" thickBot="1" x14ac:dyDescent="0.35">
      <c r="A483" s="78"/>
      <c r="B483" s="79"/>
      <c r="C483" s="78"/>
      <c r="D483" s="78"/>
    </row>
    <row r="484" spans="1:4" ht="15.6" thickTop="1" thickBot="1" x14ac:dyDescent="0.35">
      <c r="A484" s="78"/>
      <c r="B484" s="79"/>
      <c r="C484" s="78"/>
      <c r="D484" s="78"/>
    </row>
    <row r="485" spans="1:4" ht="15.6" thickTop="1" thickBot="1" x14ac:dyDescent="0.35">
      <c r="A485" s="78"/>
      <c r="B485" s="79"/>
      <c r="C485" s="78"/>
      <c r="D485" s="78"/>
    </row>
    <row r="486" spans="1:4" ht="15.6" thickTop="1" thickBot="1" x14ac:dyDescent="0.35">
      <c r="A486" s="78"/>
      <c r="B486" s="79"/>
      <c r="C486" s="78"/>
      <c r="D486" s="78"/>
    </row>
    <row r="487" spans="1:4" ht="15.6" thickTop="1" thickBot="1" x14ac:dyDescent="0.35">
      <c r="A487" s="78"/>
      <c r="B487" s="79"/>
      <c r="C487" s="78"/>
      <c r="D487" s="78"/>
    </row>
    <row r="488" spans="1:4" ht="15.6" thickTop="1" thickBot="1" x14ac:dyDescent="0.35">
      <c r="A488" s="78"/>
      <c r="B488" s="79"/>
      <c r="C488" s="78"/>
      <c r="D488" s="78"/>
    </row>
    <row r="489" spans="1:4" ht="15.6" thickTop="1" thickBot="1" x14ac:dyDescent="0.35">
      <c r="A489" s="78"/>
      <c r="B489" s="79"/>
      <c r="C489" s="78"/>
      <c r="D489" s="78"/>
    </row>
    <row r="490" spans="1:4" ht="15.6" thickTop="1" thickBot="1" x14ac:dyDescent="0.35">
      <c r="A490" s="78"/>
      <c r="B490" s="79"/>
      <c r="C490" s="78"/>
      <c r="D490" s="78"/>
    </row>
    <row r="491" spans="1:4" ht="15.6" thickTop="1" thickBot="1" x14ac:dyDescent="0.35">
      <c r="A491" s="78"/>
      <c r="B491" s="79"/>
      <c r="C491" s="78"/>
      <c r="D491" s="78"/>
    </row>
    <row r="492" spans="1:4" ht="15.6" thickTop="1" thickBot="1" x14ac:dyDescent="0.35">
      <c r="A492" s="78"/>
      <c r="B492" s="79"/>
      <c r="C492" s="78"/>
      <c r="D492" s="78"/>
    </row>
    <row r="493" spans="1:4" ht="15.6" thickTop="1" thickBot="1" x14ac:dyDescent="0.35">
      <c r="A493" s="78"/>
      <c r="B493" s="79"/>
      <c r="C493" s="78"/>
      <c r="D493" s="78"/>
    </row>
    <row r="494" spans="1:4" ht="15.6" thickTop="1" thickBot="1" x14ac:dyDescent="0.35">
      <c r="A494" s="78"/>
      <c r="B494" s="79"/>
      <c r="C494" s="78"/>
      <c r="D494" s="78"/>
    </row>
    <row r="495" spans="1:4" ht="15.6" thickTop="1" thickBot="1" x14ac:dyDescent="0.35">
      <c r="A495" s="78"/>
      <c r="B495" s="79"/>
      <c r="C495" s="78"/>
      <c r="D495" s="78"/>
    </row>
    <row r="496" spans="1:4" ht="15.6" thickTop="1" thickBot="1" x14ac:dyDescent="0.35">
      <c r="A496" s="78"/>
      <c r="B496" s="79"/>
      <c r="C496" s="78"/>
      <c r="D496" s="78"/>
    </row>
    <row r="497" spans="1:4" ht="15.6" thickTop="1" thickBot="1" x14ac:dyDescent="0.35">
      <c r="A497" s="78"/>
      <c r="B497" s="79"/>
      <c r="C497" s="78"/>
      <c r="D497" s="78"/>
    </row>
    <row r="498" spans="1:4" ht="15.6" thickTop="1" thickBot="1" x14ac:dyDescent="0.35">
      <c r="A498" s="78"/>
      <c r="B498" s="79"/>
      <c r="C498" s="78"/>
      <c r="D498" s="78"/>
    </row>
    <row r="499" spans="1:4" ht="15.6" thickTop="1" thickBot="1" x14ac:dyDescent="0.35">
      <c r="A499" s="78"/>
      <c r="B499" s="79"/>
      <c r="C499" s="78"/>
      <c r="D499" s="78"/>
    </row>
    <row r="500" spans="1:4" ht="15.6" thickTop="1" thickBot="1" x14ac:dyDescent="0.35">
      <c r="A500" s="78"/>
      <c r="B500" s="79"/>
      <c r="C500" s="78"/>
      <c r="D500" s="78"/>
    </row>
    <row r="501" spans="1:4" ht="15" thickTop="1" x14ac:dyDescent="0.3">
      <c r="B501" s="35"/>
    </row>
    <row r="502" spans="1:4" x14ac:dyDescent="0.3">
      <c r="B502" s="35"/>
    </row>
    <row r="503" spans="1:4" x14ac:dyDescent="0.3">
      <c r="B503" s="35"/>
    </row>
    <row r="504" spans="1:4" x14ac:dyDescent="0.3">
      <c r="B504" s="35"/>
    </row>
    <row r="505" spans="1:4" x14ac:dyDescent="0.3">
      <c r="B505" s="35"/>
    </row>
    <row r="506" spans="1:4" x14ac:dyDescent="0.3">
      <c r="B506" s="35"/>
    </row>
    <row r="507" spans="1:4" x14ac:dyDescent="0.3">
      <c r="B507" s="35"/>
    </row>
    <row r="508" spans="1:4" x14ac:dyDescent="0.3">
      <c r="B508" s="35"/>
    </row>
    <row r="509" spans="1:4" x14ac:dyDescent="0.3">
      <c r="B509" s="35"/>
    </row>
    <row r="510" spans="1:4" x14ac:dyDescent="0.3">
      <c r="B510" s="35"/>
    </row>
    <row r="511" spans="1:4" x14ac:dyDescent="0.3">
      <c r="B511" s="35"/>
    </row>
    <row r="512" spans="1:4" x14ac:dyDescent="0.3">
      <c r="B512" s="35"/>
    </row>
    <row r="513" spans="2:2" x14ac:dyDescent="0.3">
      <c r="B513" s="35"/>
    </row>
    <row r="514" spans="2:2" x14ac:dyDescent="0.3">
      <c r="B514" s="35"/>
    </row>
    <row r="515" spans="2:2" x14ac:dyDescent="0.3">
      <c r="B515" s="35"/>
    </row>
    <row r="516" spans="2:2" x14ac:dyDescent="0.3">
      <c r="B516" s="35"/>
    </row>
    <row r="517" spans="2:2" x14ac:dyDescent="0.3">
      <c r="B517" s="35"/>
    </row>
    <row r="518" spans="2:2" x14ac:dyDescent="0.3">
      <c r="B518" s="35"/>
    </row>
    <row r="519" spans="2:2" x14ac:dyDescent="0.3">
      <c r="B519" s="35"/>
    </row>
    <row r="520" spans="2:2" x14ac:dyDescent="0.3">
      <c r="B520" s="35"/>
    </row>
    <row r="521" spans="2:2" x14ac:dyDescent="0.3">
      <c r="B521" s="35"/>
    </row>
    <row r="522" spans="2:2" x14ac:dyDescent="0.3">
      <c r="B522" s="35"/>
    </row>
    <row r="523" spans="2:2" x14ac:dyDescent="0.3">
      <c r="B523" s="35"/>
    </row>
    <row r="524" spans="2:2" x14ac:dyDescent="0.3">
      <c r="B524" s="35"/>
    </row>
    <row r="525" spans="2:2" x14ac:dyDescent="0.3">
      <c r="B525" s="35"/>
    </row>
    <row r="526" spans="2:2" x14ac:dyDescent="0.3">
      <c r="B526" s="35"/>
    </row>
    <row r="527" spans="2:2" x14ac:dyDescent="0.3">
      <c r="B527" s="35"/>
    </row>
    <row r="528" spans="2:2" x14ac:dyDescent="0.3">
      <c r="B528" s="35"/>
    </row>
    <row r="529" spans="2:2" x14ac:dyDescent="0.3">
      <c r="B529" s="35"/>
    </row>
    <row r="530" spans="2:2" x14ac:dyDescent="0.3">
      <c r="B530" s="35"/>
    </row>
    <row r="531" spans="2:2" x14ac:dyDescent="0.3">
      <c r="B531" s="35"/>
    </row>
    <row r="532" spans="2:2" x14ac:dyDescent="0.3">
      <c r="B532" s="35"/>
    </row>
    <row r="533" spans="2:2" x14ac:dyDescent="0.3">
      <c r="B533" s="35"/>
    </row>
    <row r="534" spans="2:2" x14ac:dyDescent="0.3">
      <c r="B534" s="35"/>
    </row>
    <row r="535" spans="2:2" x14ac:dyDescent="0.3">
      <c r="B535" s="35"/>
    </row>
    <row r="536" spans="2:2" x14ac:dyDescent="0.3">
      <c r="B536" s="35"/>
    </row>
    <row r="537" spans="2:2" x14ac:dyDescent="0.3">
      <c r="B537" s="35"/>
    </row>
    <row r="538" spans="2:2" x14ac:dyDescent="0.3">
      <c r="B538" s="35"/>
    </row>
    <row r="539" spans="2:2" x14ac:dyDescent="0.3">
      <c r="B539" s="35"/>
    </row>
    <row r="540" spans="2:2" x14ac:dyDescent="0.3">
      <c r="B540" s="35"/>
    </row>
    <row r="541" spans="2:2" x14ac:dyDescent="0.3">
      <c r="B541" s="35"/>
    </row>
    <row r="542" spans="2:2" x14ac:dyDescent="0.3">
      <c r="B542" s="35"/>
    </row>
    <row r="543" spans="2:2" x14ac:dyDescent="0.3">
      <c r="B543" s="35"/>
    </row>
    <row r="544" spans="2:2" x14ac:dyDescent="0.3">
      <c r="B544" s="35"/>
    </row>
    <row r="545" spans="2:2" x14ac:dyDescent="0.3">
      <c r="B545" s="35"/>
    </row>
    <row r="546" spans="2:2" x14ac:dyDescent="0.3">
      <c r="B546" s="35"/>
    </row>
    <row r="547" spans="2:2" x14ac:dyDescent="0.3">
      <c r="B547" s="35"/>
    </row>
    <row r="548" spans="2:2" x14ac:dyDescent="0.3">
      <c r="B548" s="35"/>
    </row>
    <row r="549" spans="2:2" x14ac:dyDescent="0.3">
      <c r="B549" s="35"/>
    </row>
    <row r="550" spans="2:2" x14ac:dyDescent="0.3">
      <c r="B550" s="35"/>
    </row>
    <row r="551" spans="2:2" x14ac:dyDescent="0.3">
      <c r="B551" s="35"/>
    </row>
    <row r="552" spans="2:2" x14ac:dyDescent="0.3">
      <c r="B552" s="35"/>
    </row>
    <row r="553" spans="2:2" x14ac:dyDescent="0.3">
      <c r="B553" s="35"/>
    </row>
    <row r="554" spans="2:2" x14ac:dyDescent="0.3">
      <c r="B554" s="35"/>
    </row>
    <row r="555" spans="2:2" x14ac:dyDescent="0.3">
      <c r="B555" s="35"/>
    </row>
    <row r="556" spans="2:2" x14ac:dyDescent="0.3">
      <c r="B556" s="35"/>
    </row>
    <row r="557" spans="2:2" x14ac:dyDescent="0.3">
      <c r="B557" s="35"/>
    </row>
    <row r="558" spans="2:2" x14ac:dyDescent="0.3">
      <c r="B558" s="35"/>
    </row>
    <row r="559" spans="2:2" x14ac:dyDescent="0.3">
      <c r="B559" s="35"/>
    </row>
    <row r="560" spans="2:2" x14ac:dyDescent="0.3">
      <c r="B560" s="35"/>
    </row>
    <row r="561" spans="2:2" x14ac:dyDescent="0.3">
      <c r="B561" s="35"/>
    </row>
    <row r="562" spans="2:2" x14ac:dyDescent="0.3">
      <c r="B562" s="35"/>
    </row>
    <row r="563" spans="2:2" x14ac:dyDescent="0.3">
      <c r="B563" s="35"/>
    </row>
    <row r="564" spans="2:2" x14ac:dyDescent="0.3">
      <c r="B564" s="35"/>
    </row>
    <row r="565" spans="2:2" x14ac:dyDescent="0.3">
      <c r="B565" s="35"/>
    </row>
    <row r="566" spans="2:2" x14ac:dyDescent="0.3">
      <c r="B566" s="35"/>
    </row>
    <row r="567" spans="2:2" x14ac:dyDescent="0.3">
      <c r="B567" s="35"/>
    </row>
    <row r="568" spans="2:2" x14ac:dyDescent="0.3">
      <c r="B568" s="35"/>
    </row>
    <row r="569" spans="2:2" x14ac:dyDescent="0.3">
      <c r="B569" s="35"/>
    </row>
    <row r="570" spans="2:2" x14ac:dyDescent="0.3">
      <c r="B570" s="35"/>
    </row>
    <row r="571" spans="2:2" x14ac:dyDescent="0.3">
      <c r="B571" s="35"/>
    </row>
    <row r="572" spans="2:2" x14ac:dyDescent="0.3">
      <c r="B572" s="35"/>
    </row>
    <row r="573" spans="2:2" x14ac:dyDescent="0.3">
      <c r="B573" s="35"/>
    </row>
    <row r="574" spans="2:2" x14ac:dyDescent="0.3">
      <c r="B574" s="35"/>
    </row>
    <row r="575" spans="2:2" x14ac:dyDescent="0.3">
      <c r="B575" s="35"/>
    </row>
    <row r="576" spans="2:2" x14ac:dyDescent="0.3">
      <c r="B576" s="35"/>
    </row>
    <row r="577" spans="2:2" x14ac:dyDescent="0.3">
      <c r="B577" s="35"/>
    </row>
    <row r="578" spans="2:2" x14ac:dyDescent="0.3">
      <c r="B578" s="35"/>
    </row>
    <row r="579" spans="2:2" x14ac:dyDescent="0.3">
      <c r="B579" s="35"/>
    </row>
    <row r="580" spans="2:2" x14ac:dyDescent="0.3">
      <c r="B580" s="35"/>
    </row>
    <row r="581" spans="2:2" x14ac:dyDescent="0.3">
      <c r="B581" s="35"/>
    </row>
    <row r="582" spans="2:2" x14ac:dyDescent="0.3">
      <c r="B582" s="35"/>
    </row>
    <row r="583" spans="2:2" x14ac:dyDescent="0.3">
      <c r="B583" s="35"/>
    </row>
    <row r="584" spans="2:2" x14ac:dyDescent="0.3">
      <c r="B584" s="35"/>
    </row>
    <row r="585" spans="2:2" x14ac:dyDescent="0.3">
      <c r="B585" s="35"/>
    </row>
    <row r="586" spans="2:2" x14ac:dyDescent="0.3">
      <c r="B586" s="35"/>
    </row>
    <row r="587" spans="2:2" x14ac:dyDescent="0.3">
      <c r="B587" s="35"/>
    </row>
    <row r="588" spans="2:2" x14ac:dyDescent="0.3">
      <c r="B588" s="35"/>
    </row>
    <row r="589" spans="2:2" x14ac:dyDescent="0.3">
      <c r="B589" s="35"/>
    </row>
    <row r="590" spans="2:2" x14ac:dyDescent="0.3">
      <c r="B590" s="35"/>
    </row>
    <row r="591" spans="2:2" x14ac:dyDescent="0.3">
      <c r="B591" s="35"/>
    </row>
    <row r="592" spans="2:2" x14ac:dyDescent="0.3">
      <c r="B592" s="35"/>
    </row>
    <row r="593" spans="2:2" x14ac:dyDescent="0.3">
      <c r="B593" s="35"/>
    </row>
    <row r="594" spans="2:2" x14ac:dyDescent="0.3">
      <c r="B594" s="35"/>
    </row>
    <row r="595" spans="2:2" x14ac:dyDescent="0.3">
      <c r="B595" s="35"/>
    </row>
    <row r="596" spans="2:2" x14ac:dyDescent="0.3">
      <c r="B596" s="35"/>
    </row>
    <row r="597" spans="2:2" x14ac:dyDescent="0.3">
      <c r="B597" s="35"/>
    </row>
    <row r="598" spans="2:2" x14ac:dyDescent="0.3">
      <c r="B598" s="35"/>
    </row>
    <row r="599" spans="2:2" x14ac:dyDescent="0.3">
      <c r="B599" s="35"/>
    </row>
    <row r="600" spans="2:2" x14ac:dyDescent="0.3">
      <c r="B600" s="35"/>
    </row>
    <row r="601" spans="2:2" x14ac:dyDescent="0.3">
      <c r="B601" s="35"/>
    </row>
    <row r="602" spans="2:2" x14ac:dyDescent="0.3">
      <c r="B602" s="35"/>
    </row>
    <row r="603" spans="2:2" x14ac:dyDescent="0.3">
      <c r="B603" s="35"/>
    </row>
    <row r="604" spans="2:2" x14ac:dyDescent="0.3">
      <c r="B604" s="35"/>
    </row>
    <row r="605" spans="2:2" x14ac:dyDescent="0.3">
      <c r="B605" s="35"/>
    </row>
    <row r="606" spans="2:2" x14ac:dyDescent="0.3">
      <c r="B606" s="35"/>
    </row>
    <row r="607" spans="2:2" x14ac:dyDescent="0.3">
      <c r="B607" s="35"/>
    </row>
    <row r="608" spans="2:2" x14ac:dyDescent="0.3">
      <c r="B608" s="35"/>
    </row>
    <row r="609" spans="2:2" x14ac:dyDescent="0.3">
      <c r="B609" s="35"/>
    </row>
    <row r="610" spans="2:2" x14ac:dyDescent="0.3">
      <c r="B610" s="35"/>
    </row>
    <row r="611" spans="2:2" x14ac:dyDescent="0.3">
      <c r="B611" s="35"/>
    </row>
    <row r="612" spans="2:2" x14ac:dyDescent="0.3">
      <c r="B612" s="35"/>
    </row>
    <row r="613" spans="2:2" x14ac:dyDescent="0.3">
      <c r="B613" s="35"/>
    </row>
    <row r="614" spans="2:2" x14ac:dyDescent="0.3">
      <c r="B614" s="35"/>
    </row>
    <row r="615" spans="2:2" x14ac:dyDescent="0.3">
      <c r="B615" s="35"/>
    </row>
    <row r="616" spans="2:2" x14ac:dyDescent="0.3">
      <c r="B616" s="35"/>
    </row>
    <row r="617" spans="2:2" x14ac:dyDescent="0.3">
      <c r="B617" s="35"/>
    </row>
    <row r="618" spans="2:2" x14ac:dyDescent="0.3">
      <c r="B618" s="35"/>
    </row>
    <row r="619" spans="2:2" x14ac:dyDescent="0.3">
      <c r="B619" s="35"/>
    </row>
    <row r="620" spans="2:2" x14ac:dyDescent="0.3">
      <c r="B620" s="35"/>
    </row>
    <row r="621" spans="2:2" x14ac:dyDescent="0.3">
      <c r="B621" s="35"/>
    </row>
    <row r="622" spans="2:2" x14ac:dyDescent="0.3">
      <c r="B622" s="35"/>
    </row>
    <row r="623" spans="2:2" x14ac:dyDescent="0.3">
      <c r="B623" s="35"/>
    </row>
    <row r="624" spans="2:2" x14ac:dyDescent="0.3">
      <c r="B624" s="35"/>
    </row>
    <row r="625" spans="2:2" x14ac:dyDescent="0.3">
      <c r="B625" s="35"/>
    </row>
    <row r="626" spans="2:2" x14ac:dyDescent="0.3">
      <c r="B626" s="35"/>
    </row>
    <row r="627" spans="2:2" x14ac:dyDescent="0.3">
      <c r="B627" s="35"/>
    </row>
    <row r="628" spans="2:2" x14ac:dyDescent="0.3">
      <c r="B628" s="35"/>
    </row>
    <row r="629" spans="2:2" x14ac:dyDescent="0.3">
      <c r="B629" s="35"/>
    </row>
    <row r="630" spans="2:2" x14ac:dyDescent="0.3">
      <c r="B630" s="35"/>
    </row>
    <row r="631" spans="2:2" x14ac:dyDescent="0.3">
      <c r="B631" s="35"/>
    </row>
    <row r="632" spans="2:2" x14ac:dyDescent="0.3">
      <c r="B632" s="35"/>
    </row>
    <row r="633" spans="2:2" x14ac:dyDescent="0.3">
      <c r="B633" s="35"/>
    </row>
    <row r="634" spans="2:2" x14ac:dyDescent="0.3">
      <c r="B634" s="35"/>
    </row>
    <row r="635" spans="2:2" x14ac:dyDescent="0.3">
      <c r="B635" s="35"/>
    </row>
    <row r="636" spans="2:2" x14ac:dyDescent="0.3">
      <c r="B636" s="35"/>
    </row>
    <row r="637" spans="2:2" x14ac:dyDescent="0.3">
      <c r="B637" s="35"/>
    </row>
    <row r="638" spans="2:2" x14ac:dyDescent="0.3">
      <c r="B638" s="35"/>
    </row>
    <row r="639" spans="2:2" x14ac:dyDescent="0.3">
      <c r="B639" s="35"/>
    </row>
    <row r="640" spans="2:2" x14ac:dyDescent="0.3">
      <c r="B640" s="35"/>
    </row>
    <row r="641" spans="2:2" x14ac:dyDescent="0.3">
      <c r="B641" s="35"/>
    </row>
    <row r="642" spans="2:2" x14ac:dyDescent="0.3">
      <c r="B642" s="35"/>
    </row>
    <row r="643" spans="2:2" x14ac:dyDescent="0.3">
      <c r="B643" s="35"/>
    </row>
    <row r="644" spans="2:2" x14ac:dyDescent="0.3">
      <c r="B644" s="35"/>
    </row>
    <row r="645" spans="2:2" x14ac:dyDescent="0.3">
      <c r="B645" s="35"/>
    </row>
    <row r="646" spans="2:2" x14ac:dyDescent="0.3">
      <c r="B646" s="35"/>
    </row>
    <row r="647" spans="2:2" x14ac:dyDescent="0.3">
      <c r="B647" s="35"/>
    </row>
    <row r="648" spans="2:2" x14ac:dyDescent="0.3">
      <c r="B648" s="35"/>
    </row>
    <row r="649" spans="2:2" x14ac:dyDescent="0.3">
      <c r="B649" s="35"/>
    </row>
    <row r="650" spans="2:2" x14ac:dyDescent="0.3">
      <c r="B650" s="35"/>
    </row>
    <row r="651" spans="2:2" x14ac:dyDescent="0.3">
      <c r="B651" s="35"/>
    </row>
    <row r="652" spans="2:2" x14ac:dyDescent="0.3">
      <c r="B652" s="35"/>
    </row>
    <row r="653" spans="2:2" x14ac:dyDescent="0.3">
      <c r="B653" s="35"/>
    </row>
    <row r="654" spans="2:2" x14ac:dyDescent="0.3">
      <c r="B654" s="35"/>
    </row>
    <row r="655" spans="2:2" x14ac:dyDescent="0.3">
      <c r="B655" s="35"/>
    </row>
    <row r="656" spans="2:2" x14ac:dyDescent="0.3">
      <c r="B656" s="35"/>
    </row>
    <row r="657" spans="2:2" x14ac:dyDescent="0.3">
      <c r="B657" s="35"/>
    </row>
    <row r="658" spans="2:2" x14ac:dyDescent="0.3">
      <c r="B658" s="35"/>
    </row>
    <row r="659" spans="2:2" x14ac:dyDescent="0.3">
      <c r="B659" s="35"/>
    </row>
    <row r="660" spans="2:2" x14ac:dyDescent="0.3">
      <c r="B660" s="35"/>
    </row>
    <row r="661" spans="2:2" x14ac:dyDescent="0.3">
      <c r="B661" s="35"/>
    </row>
    <row r="662" spans="2:2" x14ac:dyDescent="0.3">
      <c r="B662" s="35"/>
    </row>
    <row r="663" spans="2:2" x14ac:dyDescent="0.3">
      <c r="B663" s="35"/>
    </row>
    <row r="664" spans="2:2" x14ac:dyDescent="0.3">
      <c r="B664" s="35"/>
    </row>
    <row r="665" spans="2:2" x14ac:dyDescent="0.3">
      <c r="B665" s="35"/>
    </row>
    <row r="666" spans="2:2" x14ac:dyDescent="0.3">
      <c r="B666" s="35"/>
    </row>
    <row r="667" spans="2:2" x14ac:dyDescent="0.3">
      <c r="B667" s="35"/>
    </row>
    <row r="668" spans="2:2" x14ac:dyDescent="0.3">
      <c r="B668" s="35"/>
    </row>
    <row r="669" spans="2:2" x14ac:dyDescent="0.3">
      <c r="B669" s="35"/>
    </row>
    <row r="670" spans="2:2" x14ac:dyDescent="0.3">
      <c r="B670" s="35"/>
    </row>
    <row r="671" spans="2:2" x14ac:dyDescent="0.3">
      <c r="B671" s="35"/>
    </row>
    <row r="672" spans="2:2" x14ac:dyDescent="0.3">
      <c r="B672" s="35"/>
    </row>
    <row r="673" spans="2:2" x14ac:dyDescent="0.3">
      <c r="B673" s="35"/>
    </row>
    <row r="674" spans="2:2" x14ac:dyDescent="0.3">
      <c r="B674" s="35"/>
    </row>
    <row r="675" spans="2:2" x14ac:dyDescent="0.3">
      <c r="B675" s="35"/>
    </row>
    <row r="676" spans="2:2" x14ac:dyDescent="0.3">
      <c r="B676" s="35"/>
    </row>
    <row r="677" spans="2:2" x14ac:dyDescent="0.3">
      <c r="B677" s="35"/>
    </row>
    <row r="678" spans="2:2" x14ac:dyDescent="0.3">
      <c r="B678" s="35"/>
    </row>
    <row r="679" spans="2:2" x14ac:dyDescent="0.3">
      <c r="B679" s="35"/>
    </row>
    <row r="680" spans="2:2" x14ac:dyDescent="0.3">
      <c r="B680" s="35"/>
    </row>
    <row r="681" spans="2:2" x14ac:dyDescent="0.3">
      <c r="B681" s="35"/>
    </row>
    <row r="682" spans="2:2" x14ac:dyDescent="0.3">
      <c r="B682" s="35"/>
    </row>
    <row r="683" spans="2:2" x14ac:dyDescent="0.3">
      <c r="B683" s="35"/>
    </row>
    <row r="684" spans="2:2" x14ac:dyDescent="0.3">
      <c r="B684" s="35"/>
    </row>
    <row r="685" spans="2:2" x14ac:dyDescent="0.3">
      <c r="B685" s="35"/>
    </row>
    <row r="686" spans="2:2" x14ac:dyDescent="0.3">
      <c r="B686" s="35"/>
    </row>
    <row r="687" spans="2:2" x14ac:dyDescent="0.3">
      <c r="B687" s="35"/>
    </row>
    <row r="688" spans="2:2" x14ac:dyDescent="0.3">
      <c r="B688" s="35"/>
    </row>
    <row r="689" spans="2:2" x14ac:dyDescent="0.3">
      <c r="B689" s="35"/>
    </row>
    <row r="690" spans="2:2" x14ac:dyDescent="0.3">
      <c r="B690" s="35"/>
    </row>
    <row r="691" spans="2:2" x14ac:dyDescent="0.3">
      <c r="B691" s="35"/>
    </row>
    <row r="692" spans="2:2" x14ac:dyDescent="0.3">
      <c r="B692" s="35"/>
    </row>
    <row r="693" spans="2:2" x14ac:dyDescent="0.3">
      <c r="B693" s="35"/>
    </row>
    <row r="694" spans="2:2" x14ac:dyDescent="0.3">
      <c r="B694" s="35"/>
    </row>
    <row r="695" spans="2:2" x14ac:dyDescent="0.3">
      <c r="B695" s="35"/>
    </row>
    <row r="696" spans="2:2" x14ac:dyDescent="0.3">
      <c r="B696" s="35"/>
    </row>
    <row r="697" spans="2:2" x14ac:dyDescent="0.3">
      <c r="B697" s="35"/>
    </row>
    <row r="698" spans="2:2" x14ac:dyDescent="0.3">
      <c r="B698" s="35"/>
    </row>
    <row r="699" spans="2:2" x14ac:dyDescent="0.3">
      <c r="B699" s="35"/>
    </row>
    <row r="700" spans="2:2" x14ac:dyDescent="0.3">
      <c r="B700" s="35"/>
    </row>
    <row r="701" spans="2:2" x14ac:dyDescent="0.3">
      <c r="B701" s="35"/>
    </row>
    <row r="702" spans="2:2" x14ac:dyDescent="0.3">
      <c r="B702" s="35"/>
    </row>
    <row r="703" spans="2:2" x14ac:dyDescent="0.3">
      <c r="B703" s="35"/>
    </row>
    <row r="704" spans="2:2" x14ac:dyDescent="0.3">
      <c r="B704" s="35"/>
    </row>
    <row r="705" spans="2:2" x14ac:dyDescent="0.3">
      <c r="B705" s="35"/>
    </row>
    <row r="706" spans="2:2" x14ac:dyDescent="0.3">
      <c r="B706" s="35"/>
    </row>
    <row r="707" spans="2:2" x14ac:dyDescent="0.3">
      <c r="B707" s="35"/>
    </row>
    <row r="708" spans="2:2" x14ac:dyDescent="0.3">
      <c r="B708" s="35"/>
    </row>
    <row r="709" spans="2:2" x14ac:dyDescent="0.3">
      <c r="B709" s="35"/>
    </row>
    <row r="710" spans="2:2" x14ac:dyDescent="0.3">
      <c r="B710" s="35"/>
    </row>
    <row r="711" spans="2:2" x14ac:dyDescent="0.3">
      <c r="B711" s="35"/>
    </row>
    <row r="712" spans="2:2" x14ac:dyDescent="0.3">
      <c r="B712" s="35"/>
    </row>
    <row r="713" spans="2:2" x14ac:dyDescent="0.3">
      <c r="B713" s="35"/>
    </row>
    <row r="714" spans="2:2" x14ac:dyDescent="0.3">
      <c r="B714" s="35"/>
    </row>
    <row r="715" spans="2:2" x14ac:dyDescent="0.3">
      <c r="B715" s="35"/>
    </row>
    <row r="716" spans="2:2" x14ac:dyDescent="0.3">
      <c r="B716" s="35"/>
    </row>
    <row r="717" spans="2:2" x14ac:dyDescent="0.3">
      <c r="B717" s="35"/>
    </row>
    <row r="718" spans="2:2" x14ac:dyDescent="0.3">
      <c r="B718" s="35"/>
    </row>
    <row r="719" spans="2:2" x14ac:dyDescent="0.3">
      <c r="B719" s="35"/>
    </row>
    <row r="720" spans="2:2" x14ac:dyDescent="0.3">
      <c r="B720" s="35"/>
    </row>
    <row r="721" spans="2:2" x14ac:dyDescent="0.3">
      <c r="B721" s="35"/>
    </row>
    <row r="722" spans="2:2" x14ac:dyDescent="0.3">
      <c r="B722" s="35"/>
    </row>
    <row r="723" spans="2:2" x14ac:dyDescent="0.3">
      <c r="B723" s="35"/>
    </row>
    <row r="724" spans="2:2" x14ac:dyDescent="0.3">
      <c r="B724" s="35"/>
    </row>
    <row r="725" spans="2:2" x14ac:dyDescent="0.3">
      <c r="B725" s="35"/>
    </row>
    <row r="726" spans="2:2" x14ac:dyDescent="0.3">
      <c r="B726" s="35"/>
    </row>
    <row r="727" spans="2:2" x14ac:dyDescent="0.3">
      <c r="B727" s="35"/>
    </row>
    <row r="728" spans="2:2" x14ac:dyDescent="0.3">
      <c r="B728" s="35"/>
    </row>
    <row r="729" spans="2:2" x14ac:dyDescent="0.3">
      <c r="B729" s="35"/>
    </row>
    <row r="730" spans="2:2" x14ac:dyDescent="0.3">
      <c r="B730" s="35"/>
    </row>
    <row r="731" spans="2:2" x14ac:dyDescent="0.3">
      <c r="B731" s="35"/>
    </row>
    <row r="732" spans="2:2" x14ac:dyDescent="0.3">
      <c r="B732" s="35"/>
    </row>
    <row r="733" spans="2:2" x14ac:dyDescent="0.3">
      <c r="B733" s="35"/>
    </row>
    <row r="734" spans="2:2" x14ac:dyDescent="0.3">
      <c r="B734" s="35"/>
    </row>
    <row r="735" spans="2:2" x14ac:dyDescent="0.3">
      <c r="B735" s="35"/>
    </row>
    <row r="736" spans="2:2" x14ac:dyDescent="0.3">
      <c r="B736" s="35"/>
    </row>
    <row r="737" spans="2:2" x14ac:dyDescent="0.3">
      <c r="B737" s="35"/>
    </row>
    <row r="738" spans="2:2" x14ac:dyDescent="0.3">
      <c r="B738" s="35"/>
    </row>
    <row r="739" spans="2:2" x14ac:dyDescent="0.3">
      <c r="B739" s="35"/>
    </row>
    <row r="740" spans="2:2" x14ac:dyDescent="0.3">
      <c r="B740" s="35"/>
    </row>
    <row r="741" spans="2:2" x14ac:dyDescent="0.3">
      <c r="B741" s="35"/>
    </row>
    <row r="742" spans="2:2" x14ac:dyDescent="0.3">
      <c r="B742" s="35"/>
    </row>
    <row r="743" spans="2:2" x14ac:dyDescent="0.3">
      <c r="B743" s="35"/>
    </row>
    <row r="744" spans="2:2" x14ac:dyDescent="0.3">
      <c r="B744" s="35"/>
    </row>
    <row r="745" spans="2:2" x14ac:dyDescent="0.3">
      <c r="B745" s="35"/>
    </row>
    <row r="746" spans="2:2" x14ac:dyDescent="0.3">
      <c r="B746" s="35"/>
    </row>
    <row r="747" spans="2:2" x14ac:dyDescent="0.3">
      <c r="B747" s="35"/>
    </row>
    <row r="748" spans="2:2" x14ac:dyDescent="0.3">
      <c r="B748" s="35"/>
    </row>
    <row r="749" spans="2:2" x14ac:dyDescent="0.3">
      <c r="B749" s="35"/>
    </row>
    <row r="750" spans="2:2" x14ac:dyDescent="0.3">
      <c r="B750" s="35"/>
    </row>
    <row r="751" spans="2:2" x14ac:dyDescent="0.3">
      <c r="B751" s="35"/>
    </row>
    <row r="752" spans="2:2" x14ac:dyDescent="0.3">
      <c r="B752" s="35"/>
    </row>
    <row r="753" spans="2:2" x14ac:dyDescent="0.3">
      <c r="B753" s="35"/>
    </row>
    <row r="754" spans="2:2" x14ac:dyDescent="0.3">
      <c r="B754" s="35"/>
    </row>
    <row r="755" spans="2:2" x14ac:dyDescent="0.3">
      <c r="B755" s="35"/>
    </row>
    <row r="756" spans="2:2" x14ac:dyDescent="0.3">
      <c r="B756" s="35"/>
    </row>
    <row r="757" spans="2:2" x14ac:dyDescent="0.3">
      <c r="B757" s="35"/>
    </row>
    <row r="758" spans="2:2" x14ac:dyDescent="0.3">
      <c r="B758" s="35"/>
    </row>
    <row r="759" spans="2:2" x14ac:dyDescent="0.3">
      <c r="B759" s="35"/>
    </row>
    <row r="760" spans="2:2" x14ac:dyDescent="0.3">
      <c r="B760" s="35"/>
    </row>
    <row r="761" spans="2:2" x14ac:dyDescent="0.3">
      <c r="B761" s="35"/>
    </row>
    <row r="762" spans="2:2" x14ac:dyDescent="0.3">
      <c r="B762" s="35"/>
    </row>
    <row r="763" spans="2:2" x14ac:dyDescent="0.3">
      <c r="B763" s="35"/>
    </row>
    <row r="764" spans="2:2" x14ac:dyDescent="0.3">
      <c r="B764" s="35"/>
    </row>
    <row r="765" spans="2:2" x14ac:dyDescent="0.3">
      <c r="B765" s="35"/>
    </row>
    <row r="766" spans="2:2" x14ac:dyDescent="0.3">
      <c r="B766" s="35"/>
    </row>
    <row r="767" spans="2:2" x14ac:dyDescent="0.3">
      <c r="B767" s="35"/>
    </row>
    <row r="768" spans="2:2" x14ac:dyDescent="0.3">
      <c r="B768" s="35"/>
    </row>
    <row r="769" spans="2:2" x14ac:dyDescent="0.3">
      <c r="B769" s="35"/>
    </row>
    <row r="770" spans="2:2" x14ac:dyDescent="0.3">
      <c r="B770" s="35"/>
    </row>
    <row r="771" spans="2:2" x14ac:dyDescent="0.3">
      <c r="B771" s="35"/>
    </row>
    <row r="772" spans="2:2" x14ac:dyDescent="0.3">
      <c r="B772" s="35"/>
    </row>
    <row r="773" spans="2:2" x14ac:dyDescent="0.3">
      <c r="B773" s="35"/>
    </row>
    <row r="774" spans="2:2" x14ac:dyDescent="0.3">
      <c r="B774" s="35"/>
    </row>
    <row r="775" spans="2:2" x14ac:dyDescent="0.3">
      <c r="B775" s="35"/>
    </row>
    <row r="776" spans="2:2" x14ac:dyDescent="0.3">
      <c r="B776" s="35"/>
    </row>
    <row r="777" spans="2:2" x14ac:dyDescent="0.3">
      <c r="B777" s="35"/>
    </row>
    <row r="778" spans="2:2" x14ac:dyDescent="0.3">
      <c r="B778" s="35"/>
    </row>
    <row r="779" spans="2:2" x14ac:dyDescent="0.3">
      <c r="B779" s="35"/>
    </row>
    <row r="780" spans="2:2" x14ac:dyDescent="0.3">
      <c r="B780" s="35"/>
    </row>
    <row r="781" spans="2:2" x14ac:dyDescent="0.3">
      <c r="B781" s="35"/>
    </row>
    <row r="782" spans="2:2" x14ac:dyDescent="0.3">
      <c r="B782" s="35"/>
    </row>
    <row r="783" spans="2:2" x14ac:dyDescent="0.3">
      <c r="B783" s="35"/>
    </row>
    <row r="784" spans="2:2" x14ac:dyDescent="0.3">
      <c r="B784" s="35"/>
    </row>
    <row r="785" spans="2:2" x14ac:dyDescent="0.3">
      <c r="B785" s="35"/>
    </row>
    <row r="786" spans="2:2" x14ac:dyDescent="0.3">
      <c r="B786" s="35"/>
    </row>
    <row r="787" spans="2:2" x14ac:dyDescent="0.3">
      <c r="B787" s="35"/>
    </row>
    <row r="788" spans="2:2" x14ac:dyDescent="0.3">
      <c r="B788" s="35"/>
    </row>
    <row r="789" spans="2:2" x14ac:dyDescent="0.3">
      <c r="B789" s="35"/>
    </row>
    <row r="790" spans="2:2" x14ac:dyDescent="0.3">
      <c r="B790" s="35"/>
    </row>
    <row r="791" spans="2:2" x14ac:dyDescent="0.3">
      <c r="B791" s="35"/>
    </row>
    <row r="792" spans="2:2" x14ac:dyDescent="0.3">
      <c r="B792" s="35"/>
    </row>
    <row r="793" spans="2:2" x14ac:dyDescent="0.3">
      <c r="B793" s="35"/>
    </row>
    <row r="794" spans="2:2" x14ac:dyDescent="0.3">
      <c r="B794" s="35"/>
    </row>
    <row r="795" spans="2:2" x14ac:dyDescent="0.3">
      <c r="B795" s="35"/>
    </row>
    <row r="796" spans="2:2" x14ac:dyDescent="0.3">
      <c r="B796" s="35"/>
    </row>
    <row r="797" spans="2:2" x14ac:dyDescent="0.3">
      <c r="B797" s="35"/>
    </row>
    <row r="798" spans="2:2" x14ac:dyDescent="0.3">
      <c r="B798" s="35"/>
    </row>
    <row r="799" spans="2:2" x14ac:dyDescent="0.3">
      <c r="B799" s="35"/>
    </row>
    <row r="800" spans="2:2" x14ac:dyDescent="0.3">
      <c r="B800" s="35"/>
    </row>
    <row r="801" spans="2:2" x14ac:dyDescent="0.3">
      <c r="B801" s="35"/>
    </row>
    <row r="802" spans="2:2" x14ac:dyDescent="0.3">
      <c r="B802" s="35"/>
    </row>
    <row r="803" spans="2:2" x14ac:dyDescent="0.3">
      <c r="B803" s="35"/>
    </row>
    <row r="804" spans="2:2" x14ac:dyDescent="0.3">
      <c r="B804" s="35"/>
    </row>
    <row r="805" spans="2:2" x14ac:dyDescent="0.3">
      <c r="B805" s="35"/>
    </row>
    <row r="806" spans="2:2" x14ac:dyDescent="0.3">
      <c r="B806" s="35"/>
    </row>
    <row r="807" spans="2:2" x14ac:dyDescent="0.3">
      <c r="B807" s="35"/>
    </row>
    <row r="808" spans="2:2" x14ac:dyDescent="0.3">
      <c r="B808" s="35"/>
    </row>
    <row r="809" spans="2:2" x14ac:dyDescent="0.3">
      <c r="B809" s="35"/>
    </row>
    <row r="810" spans="2:2" x14ac:dyDescent="0.3">
      <c r="B810" s="35"/>
    </row>
    <row r="811" spans="2:2" x14ac:dyDescent="0.3">
      <c r="B811" s="35"/>
    </row>
    <row r="812" spans="2:2" x14ac:dyDescent="0.3">
      <c r="B812" s="35"/>
    </row>
    <row r="813" spans="2:2" x14ac:dyDescent="0.3">
      <c r="B813" s="35"/>
    </row>
    <row r="814" spans="2:2" x14ac:dyDescent="0.3">
      <c r="B814" s="35"/>
    </row>
    <row r="815" spans="2:2" x14ac:dyDescent="0.3">
      <c r="B815" s="35"/>
    </row>
    <row r="816" spans="2:2" x14ac:dyDescent="0.3">
      <c r="B816" s="35"/>
    </row>
    <row r="817" spans="2:2" x14ac:dyDescent="0.3">
      <c r="B817" s="35"/>
    </row>
    <row r="818" spans="2:2" x14ac:dyDescent="0.3">
      <c r="B818" s="35"/>
    </row>
    <row r="819" spans="2:2" x14ac:dyDescent="0.3">
      <c r="B819" s="35"/>
    </row>
    <row r="820" spans="2:2" x14ac:dyDescent="0.3">
      <c r="B820" s="35"/>
    </row>
    <row r="821" spans="2:2" x14ac:dyDescent="0.3">
      <c r="B821" s="35"/>
    </row>
    <row r="822" spans="2:2" x14ac:dyDescent="0.3">
      <c r="B822" s="35"/>
    </row>
    <row r="823" spans="2:2" x14ac:dyDescent="0.3">
      <c r="B823" s="35"/>
    </row>
    <row r="824" spans="2:2" x14ac:dyDescent="0.3">
      <c r="B824" s="35"/>
    </row>
    <row r="825" spans="2:2" x14ac:dyDescent="0.3">
      <c r="B825" s="35"/>
    </row>
    <row r="826" spans="2:2" x14ac:dyDescent="0.3">
      <c r="B826" s="35"/>
    </row>
    <row r="827" spans="2:2" x14ac:dyDescent="0.3">
      <c r="B827" s="35"/>
    </row>
    <row r="828" spans="2:2" x14ac:dyDescent="0.3">
      <c r="B828" s="35"/>
    </row>
    <row r="829" spans="2:2" x14ac:dyDescent="0.3">
      <c r="B829" s="35"/>
    </row>
    <row r="830" spans="2:2" x14ac:dyDescent="0.3">
      <c r="B830" s="35"/>
    </row>
    <row r="831" spans="2:2" x14ac:dyDescent="0.3">
      <c r="B831" s="35"/>
    </row>
    <row r="832" spans="2:2" x14ac:dyDescent="0.3">
      <c r="B832" s="35"/>
    </row>
    <row r="833" spans="2:2" x14ac:dyDescent="0.3">
      <c r="B833" s="35"/>
    </row>
    <row r="834" spans="2:2" x14ac:dyDescent="0.3">
      <c r="B834" s="35"/>
    </row>
    <row r="835" spans="2:2" x14ac:dyDescent="0.3">
      <c r="B835" s="35"/>
    </row>
    <row r="836" spans="2:2" x14ac:dyDescent="0.3">
      <c r="B836" s="35"/>
    </row>
    <row r="837" spans="2:2" x14ac:dyDescent="0.3">
      <c r="B837" s="35"/>
    </row>
    <row r="838" spans="2:2" x14ac:dyDescent="0.3">
      <c r="B838" s="35"/>
    </row>
    <row r="839" spans="2:2" x14ac:dyDescent="0.3">
      <c r="B839" s="35"/>
    </row>
    <row r="840" spans="2:2" x14ac:dyDescent="0.3">
      <c r="B840" s="35"/>
    </row>
    <row r="841" spans="2:2" x14ac:dyDescent="0.3">
      <c r="B841" s="35"/>
    </row>
    <row r="842" spans="2:2" x14ac:dyDescent="0.3">
      <c r="B842" s="35"/>
    </row>
    <row r="843" spans="2:2" x14ac:dyDescent="0.3">
      <c r="B843" s="35"/>
    </row>
    <row r="844" spans="2:2" x14ac:dyDescent="0.3">
      <c r="B844" s="35"/>
    </row>
    <row r="845" spans="2:2" x14ac:dyDescent="0.3">
      <c r="B845" s="35"/>
    </row>
    <row r="846" spans="2:2" x14ac:dyDescent="0.3">
      <c r="B846" s="35"/>
    </row>
    <row r="847" spans="2:2" x14ac:dyDescent="0.3">
      <c r="B847" s="35"/>
    </row>
    <row r="848" spans="2:2" x14ac:dyDescent="0.3">
      <c r="B848" s="35"/>
    </row>
    <row r="849" spans="2:2" x14ac:dyDescent="0.3">
      <c r="B849" s="35"/>
    </row>
    <row r="850" spans="2:2" x14ac:dyDescent="0.3">
      <c r="B850" s="35"/>
    </row>
    <row r="851" spans="2:2" x14ac:dyDescent="0.3">
      <c r="B851" s="35"/>
    </row>
    <row r="852" spans="2:2" x14ac:dyDescent="0.3">
      <c r="B852" s="35"/>
    </row>
    <row r="853" spans="2:2" x14ac:dyDescent="0.3">
      <c r="B853" s="35"/>
    </row>
    <row r="854" spans="2:2" x14ac:dyDescent="0.3">
      <c r="B854" s="35"/>
    </row>
    <row r="855" spans="2:2" x14ac:dyDescent="0.3">
      <c r="B855" s="35"/>
    </row>
    <row r="856" spans="2:2" x14ac:dyDescent="0.3">
      <c r="B856" s="35"/>
    </row>
    <row r="857" spans="2:2" x14ac:dyDescent="0.3">
      <c r="B857" s="35"/>
    </row>
    <row r="858" spans="2:2" x14ac:dyDescent="0.3">
      <c r="B858" s="35"/>
    </row>
    <row r="859" spans="2:2" x14ac:dyDescent="0.3">
      <c r="B859" s="35"/>
    </row>
    <row r="860" spans="2:2" x14ac:dyDescent="0.3">
      <c r="B860" s="35"/>
    </row>
    <row r="861" spans="2:2" x14ac:dyDescent="0.3">
      <c r="B861" s="35"/>
    </row>
    <row r="862" spans="2:2" x14ac:dyDescent="0.3">
      <c r="B862" s="35"/>
    </row>
    <row r="863" spans="2:2" x14ac:dyDescent="0.3">
      <c r="B863" s="35"/>
    </row>
    <row r="864" spans="2:2" x14ac:dyDescent="0.3">
      <c r="B864" s="35"/>
    </row>
    <row r="865" spans="2:2" x14ac:dyDescent="0.3">
      <c r="B865" s="35"/>
    </row>
    <row r="866" spans="2:2" x14ac:dyDescent="0.3">
      <c r="B866" s="35"/>
    </row>
    <row r="867" spans="2:2" x14ac:dyDescent="0.3">
      <c r="B867" s="35"/>
    </row>
    <row r="868" spans="2:2" x14ac:dyDescent="0.3">
      <c r="B868" s="35"/>
    </row>
    <row r="869" spans="2:2" x14ac:dyDescent="0.3">
      <c r="B869" s="35"/>
    </row>
    <row r="870" spans="2:2" x14ac:dyDescent="0.3">
      <c r="B870" s="35"/>
    </row>
    <row r="871" spans="2:2" x14ac:dyDescent="0.3">
      <c r="B871" s="35"/>
    </row>
    <row r="872" spans="2:2" x14ac:dyDescent="0.3">
      <c r="B872" s="35"/>
    </row>
    <row r="873" spans="2:2" x14ac:dyDescent="0.3">
      <c r="B873" s="35"/>
    </row>
    <row r="874" spans="2:2" x14ac:dyDescent="0.3">
      <c r="B874" s="35"/>
    </row>
    <row r="875" spans="2:2" x14ac:dyDescent="0.3">
      <c r="B875" s="35"/>
    </row>
    <row r="876" spans="2:2" x14ac:dyDescent="0.3">
      <c r="B876" s="35"/>
    </row>
    <row r="877" spans="2:2" x14ac:dyDescent="0.3">
      <c r="B877" s="35"/>
    </row>
    <row r="878" spans="2:2" x14ac:dyDescent="0.3">
      <c r="B878" s="35"/>
    </row>
    <row r="879" spans="2:2" x14ac:dyDescent="0.3">
      <c r="B879" s="35"/>
    </row>
    <row r="880" spans="2:2" x14ac:dyDescent="0.3">
      <c r="B880" s="35"/>
    </row>
    <row r="881" spans="2:2" x14ac:dyDescent="0.3">
      <c r="B881" s="35"/>
    </row>
    <row r="882" spans="2:2" x14ac:dyDescent="0.3">
      <c r="B882" s="35"/>
    </row>
    <row r="883" spans="2:2" x14ac:dyDescent="0.3">
      <c r="B883" s="35"/>
    </row>
    <row r="884" spans="2:2" x14ac:dyDescent="0.3">
      <c r="B884" s="35"/>
    </row>
    <row r="885" spans="2:2" x14ac:dyDescent="0.3">
      <c r="B885" s="35"/>
    </row>
    <row r="886" spans="2:2" x14ac:dyDescent="0.3">
      <c r="B886" s="35"/>
    </row>
    <row r="887" spans="2:2" x14ac:dyDescent="0.3">
      <c r="B887" s="35"/>
    </row>
    <row r="888" spans="2:2" x14ac:dyDescent="0.3">
      <c r="B888" s="35"/>
    </row>
    <row r="889" spans="2:2" x14ac:dyDescent="0.3">
      <c r="B889" s="35"/>
    </row>
    <row r="890" spans="2:2" x14ac:dyDescent="0.3">
      <c r="B890" s="35"/>
    </row>
    <row r="891" spans="2:2" x14ac:dyDescent="0.3">
      <c r="B891" s="35"/>
    </row>
    <row r="892" spans="2:2" x14ac:dyDescent="0.3">
      <c r="B892" s="35"/>
    </row>
    <row r="893" spans="2:2" x14ac:dyDescent="0.3">
      <c r="B893" s="35"/>
    </row>
    <row r="894" spans="2:2" x14ac:dyDescent="0.3">
      <c r="B894" s="35"/>
    </row>
    <row r="895" spans="2:2" x14ac:dyDescent="0.3">
      <c r="B895" s="35"/>
    </row>
    <row r="896" spans="2:2" x14ac:dyDescent="0.3">
      <c r="B896" s="35"/>
    </row>
    <row r="897" spans="2:2" x14ac:dyDescent="0.3">
      <c r="B897" s="35"/>
    </row>
    <row r="898" spans="2:2" x14ac:dyDescent="0.3">
      <c r="B898" s="35"/>
    </row>
    <row r="899" spans="2:2" x14ac:dyDescent="0.3">
      <c r="B899" s="35"/>
    </row>
    <row r="900" spans="2:2" x14ac:dyDescent="0.3">
      <c r="B900" s="35"/>
    </row>
    <row r="901" spans="2:2" x14ac:dyDescent="0.3">
      <c r="B901" s="35"/>
    </row>
    <row r="902" spans="2:2" x14ac:dyDescent="0.3">
      <c r="B902" s="35"/>
    </row>
    <row r="903" spans="2:2" x14ac:dyDescent="0.3">
      <c r="B903" s="35"/>
    </row>
    <row r="904" spans="2:2" x14ac:dyDescent="0.3">
      <c r="B904" s="35"/>
    </row>
    <row r="905" spans="2:2" x14ac:dyDescent="0.3">
      <c r="B905" s="35"/>
    </row>
    <row r="906" spans="2:2" x14ac:dyDescent="0.3">
      <c r="B906" s="35"/>
    </row>
    <row r="907" spans="2:2" x14ac:dyDescent="0.3">
      <c r="B907" s="35"/>
    </row>
    <row r="908" spans="2:2" x14ac:dyDescent="0.3">
      <c r="B908" s="35"/>
    </row>
    <row r="909" spans="2:2" x14ac:dyDescent="0.3">
      <c r="B909" s="35"/>
    </row>
    <row r="910" spans="2:2" x14ac:dyDescent="0.3">
      <c r="B910" s="35"/>
    </row>
    <row r="911" spans="2:2" x14ac:dyDescent="0.3">
      <c r="B911" s="35"/>
    </row>
    <row r="912" spans="2:2" x14ac:dyDescent="0.3">
      <c r="B912" s="35"/>
    </row>
    <row r="913" spans="2:2" x14ac:dyDescent="0.3">
      <c r="B913" s="35"/>
    </row>
    <row r="914" spans="2:2" x14ac:dyDescent="0.3">
      <c r="B914" s="35"/>
    </row>
    <row r="915" spans="2:2" x14ac:dyDescent="0.3">
      <c r="B915" s="35"/>
    </row>
    <row r="916" spans="2:2" x14ac:dyDescent="0.3">
      <c r="B916" s="35"/>
    </row>
    <row r="917" spans="2:2" x14ac:dyDescent="0.3">
      <c r="B917" s="35"/>
    </row>
    <row r="918" spans="2:2" x14ac:dyDescent="0.3">
      <c r="B918" s="35"/>
    </row>
    <row r="919" spans="2:2" x14ac:dyDescent="0.3">
      <c r="B919" s="35"/>
    </row>
    <row r="920" spans="2:2" x14ac:dyDescent="0.3">
      <c r="B920" s="35"/>
    </row>
    <row r="921" spans="2:2" x14ac:dyDescent="0.3">
      <c r="B921" s="35"/>
    </row>
    <row r="922" spans="2:2" x14ac:dyDescent="0.3">
      <c r="B922" s="35"/>
    </row>
    <row r="923" spans="2:2" x14ac:dyDescent="0.3">
      <c r="B923" s="35"/>
    </row>
    <row r="924" spans="2:2" x14ac:dyDescent="0.3">
      <c r="B924" s="35"/>
    </row>
    <row r="925" spans="2:2" x14ac:dyDescent="0.3">
      <c r="B925" s="35"/>
    </row>
    <row r="926" spans="2:2" x14ac:dyDescent="0.3">
      <c r="B926" s="35"/>
    </row>
    <row r="927" spans="2:2" x14ac:dyDescent="0.3">
      <c r="B927" s="35"/>
    </row>
    <row r="928" spans="2:2" x14ac:dyDescent="0.3">
      <c r="B928" s="35"/>
    </row>
    <row r="929" spans="2:2" x14ac:dyDescent="0.3">
      <c r="B929" s="35"/>
    </row>
    <row r="930" spans="2:2" x14ac:dyDescent="0.3">
      <c r="B930" s="35"/>
    </row>
    <row r="931" spans="2:2" x14ac:dyDescent="0.3">
      <c r="B931" s="35"/>
    </row>
    <row r="932" spans="2:2" x14ac:dyDescent="0.3">
      <c r="B932" s="35"/>
    </row>
    <row r="933" spans="2:2" x14ac:dyDescent="0.3">
      <c r="B933" s="35"/>
    </row>
    <row r="934" spans="2:2" x14ac:dyDescent="0.3">
      <c r="B934" s="35"/>
    </row>
    <row r="935" spans="2:2" x14ac:dyDescent="0.3">
      <c r="B935" s="35"/>
    </row>
    <row r="936" spans="2:2" x14ac:dyDescent="0.3">
      <c r="B936" s="35"/>
    </row>
    <row r="937" spans="2:2" x14ac:dyDescent="0.3">
      <c r="B937" s="35"/>
    </row>
    <row r="938" spans="2:2" x14ac:dyDescent="0.3">
      <c r="B938" s="35"/>
    </row>
    <row r="939" spans="2:2" x14ac:dyDescent="0.3">
      <c r="B939" s="35"/>
    </row>
    <row r="940" spans="2:2" x14ac:dyDescent="0.3">
      <c r="B940" s="35"/>
    </row>
    <row r="941" spans="2:2" x14ac:dyDescent="0.3">
      <c r="B941" s="35"/>
    </row>
    <row r="942" spans="2:2" x14ac:dyDescent="0.3">
      <c r="B942" s="35"/>
    </row>
    <row r="943" spans="2:2" x14ac:dyDescent="0.3">
      <c r="B943" s="35"/>
    </row>
    <row r="944" spans="2:2" x14ac:dyDescent="0.3">
      <c r="B944" s="35"/>
    </row>
    <row r="945" spans="2:2" x14ac:dyDescent="0.3">
      <c r="B945" s="35"/>
    </row>
    <row r="946" spans="2:2" x14ac:dyDescent="0.3">
      <c r="B946" s="35"/>
    </row>
    <row r="947" spans="2:2" x14ac:dyDescent="0.3">
      <c r="B947" s="35"/>
    </row>
    <row r="948" spans="2:2" x14ac:dyDescent="0.3">
      <c r="B948" s="35"/>
    </row>
    <row r="949" spans="2:2" x14ac:dyDescent="0.3">
      <c r="B949" s="35"/>
    </row>
    <row r="950" spans="2:2" x14ac:dyDescent="0.3">
      <c r="B950" s="35"/>
    </row>
    <row r="951" spans="2:2" x14ac:dyDescent="0.3">
      <c r="B951" s="35"/>
    </row>
    <row r="952" spans="2:2" x14ac:dyDescent="0.3">
      <c r="B952" s="35"/>
    </row>
    <row r="953" spans="2:2" x14ac:dyDescent="0.3">
      <c r="B953" s="35"/>
    </row>
    <row r="954" spans="2:2" x14ac:dyDescent="0.3">
      <c r="B954" s="35"/>
    </row>
    <row r="955" spans="2:2" x14ac:dyDescent="0.3">
      <c r="B955" s="35"/>
    </row>
    <row r="956" spans="2:2" x14ac:dyDescent="0.3">
      <c r="B956" s="35"/>
    </row>
    <row r="957" spans="2:2" x14ac:dyDescent="0.3">
      <c r="B957" s="35"/>
    </row>
    <row r="958" spans="2:2" x14ac:dyDescent="0.3">
      <c r="B958" s="35"/>
    </row>
    <row r="959" spans="2:2" x14ac:dyDescent="0.3">
      <c r="B959" s="35"/>
    </row>
    <row r="960" spans="2:2" x14ac:dyDescent="0.3">
      <c r="B960" s="35"/>
    </row>
    <row r="961" spans="2:2" x14ac:dyDescent="0.3">
      <c r="B961" s="35"/>
    </row>
    <row r="962" spans="2:2" x14ac:dyDescent="0.3">
      <c r="B962" s="35"/>
    </row>
    <row r="963" spans="2:2" x14ac:dyDescent="0.3">
      <c r="B963" s="35"/>
    </row>
    <row r="964" spans="2:2" x14ac:dyDescent="0.3">
      <c r="B964" s="35"/>
    </row>
    <row r="965" spans="2:2" x14ac:dyDescent="0.3">
      <c r="B965" s="35"/>
    </row>
    <row r="966" spans="2:2" x14ac:dyDescent="0.3">
      <c r="B966" s="35"/>
    </row>
    <row r="967" spans="2:2" x14ac:dyDescent="0.3">
      <c r="B967" s="35"/>
    </row>
    <row r="968" spans="2:2" x14ac:dyDescent="0.3">
      <c r="B968" s="35"/>
    </row>
    <row r="969" spans="2:2" x14ac:dyDescent="0.3">
      <c r="B969" s="35"/>
    </row>
    <row r="970" spans="2:2" x14ac:dyDescent="0.3">
      <c r="B970" s="35"/>
    </row>
    <row r="971" spans="2:2" x14ac:dyDescent="0.3">
      <c r="B971" s="35"/>
    </row>
    <row r="972" spans="2:2" x14ac:dyDescent="0.3">
      <c r="B972" s="35"/>
    </row>
    <row r="973" spans="2:2" x14ac:dyDescent="0.3">
      <c r="B973" s="35"/>
    </row>
    <row r="974" spans="2:2" x14ac:dyDescent="0.3">
      <c r="B974" s="35"/>
    </row>
    <row r="975" spans="2:2" x14ac:dyDescent="0.3">
      <c r="B975" s="35"/>
    </row>
    <row r="976" spans="2:2" x14ac:dyDescent="0.3">
      <c r="B976" s="35"/>
    </row>
    <row r="977" spans="2:2" x14ac:dyDescent="0.3">
      <c r="B977" s="35"/>
    </row>
    <row r="978" spans="2:2" x14ac:dyDescent="0.3">
      <c r="B978" s="35"/>
    </row>
    <row r="979" spans="2:2" x14ac:dyDescent="0.3">
      <c r="B979" s="35"/>
    </row>
    <row r="980" spans="2:2" x14ac:dyDescent="0.3">
      <c r="B980" s="35"/>
    </row>
    <row r="981" spans="2:2" x14ac:dyDescent="0.3">
      <c r="B981" s="35"/>
    </row>
    <row r="982" spans="2:2" x14ac:dyDescent="0.3">
      <c r="B982" s="35"/>
    </row>
    <row r="983" spans="2:2" x14ac:dyDescent="0.3">
      <c r="B983" s="35"/>
    </row>
    <row r="984" spans="2:2" x14ac:dyDescent="0.3">
      <c r="B984" s="35"/>
    </row>
    <row r="985" spans="2:2" x14ac:dyDescent="0.3">
      <c r="B985" s="35"/>
    </row>
    <row r="986" spans="2:2" x14ac:dyDescent="0.3">
      <c r="B986" s="35"/>
    </row>
    <row r="987" spans="2:2" x14ac:dyDescent="0.3">
      <c r="B987" s="35"/>
    </row>
    <row r="988" spans="2:2" x14ac:dyDescent="0.3">
      <c r="B988" s="35"/>
    </row>
    <row r="989" spans="2:2" x14ac:dyDescent="0.3">
      <c r="B989" s="35"/>
    </row>
    <row r="990" spans="2:2" x14ac:dyDescent="0.3">
      <c r="B990" s="35"/>
    </row>
    <row r="991" spans="2:2" x14ac:dyDescent="0.3">
      <c r="B991" s="35"/>
    </row>
    <row r="992" spans="2:2" x14ac:dyDescent="0.3">
      <c r="B992" s="35"/>
    </row>
    <row r="993" spans="2:2" x14ac:dyDescent="0.3">
      <c r="B993" s="35"/>
    </row>
    <row r="994" spans="2:2" x14ac:dyDescent="0.3">
      <c r="B994" s="35"/>
    </row>
    <row r="995" spans="2:2" x14ac:dyDescent="0.3">
      <c r="B995" s="35"/>
    </row>
    <row r="996" spans="2:2" x14ac:dyDescent="0.3">
      <c r="B996" s="35"/>
    </row>
    <row r="997" spans="2:2" x14ac:dyDescent="0.3">
      <c r="B997" s="35"/>
    </row>
    <row r="998" spans="2:2" x14ac:dyDescent="0.3">
      <c r="B998" s="35"/>
    </row>
    <row r="999" spans="2:2" x14ac:dyDescent="0.3">
      <c r="B999" s="35"/>
    </row>
    <row r="1000" spans="2:2" x14ac:dyDescent="0.3">
      <c r="B1000" s="35"/>
    </row>
    <row r="1001" spans="2:2" x14ac:dyDescent="0.3">
      <c r="B1001" s="35"/>
    </row>
    <row r="1002" spans="2:2" x14ac:dyDescent="0.3">
      <c r="B1002" s="35"/>
    </row>
    <row r="1003" spans="2:2" x14ac:dyDescent="0.3">
      <c r="B1003" s="35"/>
    </row>
    <row r="1004" spans="2:2" x14ac:dyDescent="0.3">
      <c r="B1004" s="35"/>
    </row>
    <row r="1005" spans="2:2" x14ac:dyDescent="0.3">
      <c r="B1005" s="35"/>
    </row>
    <row r="1006" spans="2:2" x14ac:dyDescent="0.3">
      <c r="B1006" s="35"/>
    </row>
    <row r="1007" spans="2:2" x14ac:dyDescent="0.3">
      <c r="B1007" s="35"/>
    </row>
    <row r="1008" spans="2:2" x14ac:dyDescent="0.3">
      <c r="B1008" s="35"/>
    </row>
    <row r="1009" spans="2:2" x14ac:dyDescent="0.3">
      <c r="B1009" s="35"/>
    </row>
    <row r="1010" spans="2:2" x14ac:dyDescent="0.3">
      <c r="B1010" s="35"/>
    </row>
    <row r="1011" spans="2:2" x14ac:dyDescent="0.3">
      <c r="B1011" s="35"/>
    </row>
    <row r="1012" spans="2:2" x14ac:dyDescent="0.3">
      <c r="B1012" s="35"/>
    </row>
    <row r="1013" spans="2:2" x14ac:dyDescent="0.3">
      <c r="B1013" s="35"/>
    </row>
    <row r="1014" spans="2:2" x14ac:dyDescent="0.3">
      <c r="B1014" s="35"/>
    </row>
    <row r="1015" spans="2:2" x14ac:dyDescent="0.3">
      <c r="B1015" s="35"/>
    </row>
    <row r="1016" spans="2:2" x14ac:dyDescent="0.3">
      <c r="B1016" s="35"/>
    </row>
    <row r="1017" spans="2:2" x14ac:dyDescent="0.3">
      <c r="B1017" s="35"/>
    </row>
    <row r="1018" spans="2:2" x14ac:dyDescent="0.3">
      <c r="B1018" s="35"/>
    </row>
    <row r="1019" spans="2:2" x14ac:dyDescent="0.3">
      <c r="B1019" s="35"/>
    </row>
    <row r="1020" spans="2:2" x14ac:dyDescent="0.3">
      <c r="B1020" s="35"/>
    </row>
    <row r="1021" spans="2:2" x14ac:dyDescent="0.3">
      <c r="B1021" s="35"/>
    </row>
    <row r="1022" spans="2:2" x14ac:dyDescent="0.3">
      <c r="B1022" s="35"/>
    </row>
    <row r="1023" spans="2:2" x14ac:dyDescent="0.3">
      <c r="B1023" s="35"/>
    </row>
    <row r="1024" spans="2:2" x14ac:dyDescent="0.3">
      <c r="B1024" s="35"/>
    </row>
    <row r="1025" spans="2:2" x14ac:dyDescent="0.3">
      <c r="B1025" s="35"/>
    </row>
    <row r="1026" spans="2:2" x14ac:dyDescent="0.3">
      <c r="B1026" s="35"/>
    </row>
    <row r="1027" spans="2:2" x14ac:dyDescent="0.3">
      <c r="B1027" s="35"/>
    </row>
    <row r="1028" spans="2:2" x14ac:dyDescent="0.3">
      <c r="B1028" s="35"/>
    </row>
    <row r="1029" spans="2:2" x14ac:dyDescent="0.3">
      <c r="B1029" s="35"/>
    </row>
    <row r="1030" spans="2:2" x14ac:dyDescent="0.3">
      <c r="B1030" s="35"/>
    </row>
    <row r="1031" spans="2:2" x14ac:dyDescent="0.3">
      <c r="B1031" s="35"/>
    </row>
    <row r="1032" spans="2:2" x14ac:dyDescent="0.3">
      <c r="B1032" s="35"/>
    </row>
    <row r="1033" spans="2:2" x14ac:dyDescent="0.3">
      <c r="B1033" s="35"/>
    </row>
    <row r="1034" spans="2:2" x14ac:dyDescent="0.3">
      <c r="B1034" s="35"/>
    </row>
    <row r="1035" spans="2:2" x14ac:dyDescent="0.3">
      <c r="B1035" s="35"/>
    </row>
    <row r="1036" spans="2:2" x14ac:dyDescent="0.3">
      <c r="B1036" s="35"/>
    </row>
    <row r="1037" spans="2:2" x14ac:dyDescent="0.3">
      <c r="B1037" s="35"/>
    </row>
    <row r="1038" spans="2:2" x14ac:dyDescent="0.3">
      <c r="B1038" s="35"/>
    </row>
    <row r="1039" spans="2:2" x14ac:dyDescent="0.3">
      <c r="B1039" s="35"/>
    </row>
    <row r="1040" spans="2:2" x14ac:dyDescent="0.3">
      <c r="B1040" s="35"/>
    </row>
    <row r="1041" spans="2:2" x14ac:dyDescent="0.3">
      <c r="B1041" s="35"/>
    </row>
    <row r="1042" spans="2:2" x14ac:dyDescent="0.3">
      <c r="B1042" s="35"/>
    </row>
    <row r="1043" spans="2:2" x14ac:dyDescent="0.3">
      <c r="B1043" s="35"/>
    </row>
    <row r="1044" spans="2:2" x14ac:dyDescent="0.3">
      <c r="B1044" s="35"/>
    </row>
    <row r="1045" spans="2:2" x14ac:dyDescent="0.3">
      <c r="B1045" s="35"/>
    </row>
    <row r="1046" spans="2:2" x14ac:dyDescent="0.3">
      <c r="B1046" s="35"/>
    </row>
    <row r="1047" spans="2:2" x14ac:dyDescent="0.3">
      <c r="B1047" s="35"/>
    </row>
    <row r="1048" spans="2:2" x14ac:dyDescent="0.3">
      <c r="B1048" s="35"/>
    </row>
    <row r="1049" spans="2:2" x14ac:dyDescent="0.3">
      <c r="B1049" s="35"/>
    </row>
    <row r="1050" spans="2:2" x14ac:dyDescent="0.3">
      <c r="B1050" s="35"/>
    </row>
    <row r="1051" spans="2:2" x14ac:dyDescent="0.3">
      <c r="B1051" s="35"/>
    </row>
    <row r="1052" spans="2:2" x14ac:dyDescent="0.3">
      <c r="B1052" s="35"/>
    </row>
    <row r="1053" spans="2:2" x14ac:dyDescent="0.3">
      <c r="B1053" s="35"/>
    </row>
    <row r="1054" spans="2:2" x14ac:dyDescent="0.3">
      <c r="B1054" s="35"/>
    </row>
    <row r="1055" spans="2:2" x14ac:dyDescent="0.3">
      <c r="B1055" s="35"/>
    </row>
    <row r="1056" spans="2:2" x14ac:dyDescent="0.3">
      <c r="B1056" s="35"/>
    </row>
    <row r="1057" spans="2:2" x14ac:dyDescent="0.3">
      <c r="B1057" s="35"/>
    </row>
    <row r="1058" spans="2:2" x14ac:dyDescent="0.3">
      <c r="B1058" s="35"/>
    </row>
    <row r="1059" spans="2:2" x14ac:dyDescent="0.3">
      <c r="B1059" s="35"/>
    </row>
    <row r="1060" spans="2:2" x14ac:dyDescent="0.3">
      <c r="B1060" s="35"/>
    </row>
    <row r="1061" spans="2:2" x14ac:dyDescent="0.3">
      <c r="B1061" s="35"/>
    </row>
    <row r="1062" spans="2:2" x14ac:dyDescent="0.3">
      <c r="B1062" s="35"/>
    </row>
    <row r="1063" spans="2:2" x14ac:dyDescent="0.3">
      <c r="B1063" s="35"/>
    </row>
    <row r="1064" spans="2:2" x14ac:dyDescent="0.3">
      <c r="B1064" s="35"/>
    </row>
    <row r="1065" spans="2:2" x14ac:dyDescent="0.3">
      <c r="B1065" s="35"/>
    </row>
    <row r="1066" spans="2:2" x14ac:dyDescent="0.3">
      <c r="B1066" s="35"/>
    </row>
    <row r="1067" spans="2:2" x14ac:dyDescent="0.3">
      <c r="B1067" s="35"/>
    </row>
    <row r="1068" spans="2:2" x14ac:dyDescent="0.3">
      <c r="B1068" s="35"/>
    </row>
    <row r="1069" spans="2:2" x14ac:dyDescent="0.3">
      <c r="B1069" s="35"/>
    </row>
    <row r="1070" spans="2:2" x14ac:dyDescent="0.3">
      <c r="B1070" s="35"/>
    </row>
    <row r="1071" spans="2:2" x14ac:dyDescent="0.3">
      <c r="B1071" s="35"/>
    </row>
    <row r="1072" spans="2:2" x14ac:dyDescent="0.3">
      <c r="B1072" s="35"/>
    </row>
    <row r="1073" spans="2:2" x14ac:dyDescent="0.3">
      <c r="B1073" s="35"/>
    </row>
    <row r="1074" spans="2:2" x14ac:dyDescent="0.3">
      <c r="B1074" s="35"/>
    </row>
    <row r="1075" spans="2:2" x14ac:dyDescent="0.3">
      <c r="B1075" s="35"/>
    </row>
    <row r="1076" spans="2:2" x14ac:dyDescent="0.3">
      <c r="B1076" s="35"/>
    </row>
    <row r="1077" spans="2:2" x14ac:dyDescent="0.3">
      <c r="B1077" s="35"/>
    </row>
    <row r="1078" spans="2:2" x14ac:dyDescent="0.3">
      <c r="B1078" s="35"/>
    </row>
    <row r="1079" spans="2:2" x14ac:dyDescent="0.3">
      <c r="B1079" s="35"/>
    </row>
    <row r="1080" spans="2:2" x14ac:dyDescent="0.3">
      <c r="B1080" s="35"/>
    </row>
    <row r="1081" spans="2:2" x14ac:dyDescent="0.3">
      <c r="B1081" s="35"/>
    </row>
    <row r="1082" spans="2:2" x14ac:dyDescent="0.3">
      <c r="B1082" s="35"/>
    </row>
    <row r="1083" spans="2:2" x14ac:dyDescent="0.3">
      <c r="B1083" s="35"/>
    </row>
    <row r="1084" spans="2:2" x14ac:dyDescent="0.3">
      <c r="B1084" s="35"/>
    </row>
    <row r="1085" spans="2:2" x14ac:dyDescent="0.3">
      <c r="B1085" s="35"/>
    </row>
    <row r="1086" spans="2:2" x14ac:dyDescent="0.3">
      <c r="B1086" s="35"/>
    </row>
    <row r="1087" spans="2:2" x14ac:dyDescent="0.3">
      <c r="B1087" s="35"/>
    </row>
    <row r="1088" spans="2:2" x14ac:dyDescent="0.3">
      <c r="B1088" s="35"/>
    </row>
    <row r="1089" spans="2:2" x14ac:dyDescent="0.3">
      <c r="B1089" s="35"/>
    </row>
    <row r="1090" spans="2:2" x14ac:dyDescent="0.3">
      <c r="B1090" s="35"/>
    </row>
    <row r="1091" spans="2:2" x14ac:dyDescent="0.3">
      <c r="B1091" s="35"/>
    </row>
    <row r="1092" spans="2:2" x14ac:dyDescent="0.3">
      <c r="B1092" s="35"/>
    </row>
    <row r="1093" spans="2:2" x14ac:dyDescent="0.3">
      <c r="B1093" s="35"/>
    </row>
    <row r="1094" spans="2:2" x14ac:dyDescent="0.3">
      <c r="B1094" s="35"/>
    </row>
    <row r="1095" spans="2:2" x14ac:dyDescent="0.3">
      <c r="B1095" s="35"/>
    </row>
    <row r="1096" spans="2:2" x14ac:dyDescent="0.3">
      <c r="B1096" s="35"/>
    </row>
    <row r="1097" spans="2:2" x14ac:dyDescent="0.3">
      <c r="B1097" s="35"/>
    </row>
    <row r="1098" spans="2:2" x14ac:dyDescent="0.3">
      <c r="B1098" s="35"/>
    </row>
    <row r="1099" spans="2:2" x14ac:dyDescent="0.3">
      <c r="B1099" s="35"/>
    </row>
    <row r="1100" spans="2:2" x14ac:dyDescent="0.3">
      <c r="B1100" s="35"/>
    </row>
    <row r="1101" spans="2:2" x14ac:dyDescent="0.3">
      <c r="B1101" s="35"/>
    </row>
    <row r="1102" spans="2:2" x14ac:dyDescent="0.3">
      <c r="B1102" s="35"/>
    </row>
    <row r="1103" spans="2:2" x14ac:dyDescent="0.3">
      <c r="B1103" s="35"/>
    </row>
    <row r="1104" spans="2:2" x14ac:dyDescent="0.3">
      <c r="B1104" s="35"/>
    </row>
    <row r="1105" spans="2:2" x14ac:dyDescent="0.3">
      <c r="B1105" s="35"/>
    </row>
    <row r="1106" spans="2:2" x14ac:dyDescent="0.3">
      <c r="B1106" s="35"/>
    </row>
    <row r="1107" spans="2:2" x14ac:dyDescent="0.3">
      <c r="B1107" s="35"/>
    </row>
    <row r="1108" spans="2:2" x14ac:dyDescent="0.3">
      <c r="B1108" s="35"/>
    </row>
    <row r="1109" spans="2:2" x14ac:dyDescent="0.3">
      <c r="B1109" s="35"/>
    </row>
    <row r="1110" spans="2:2" x14ac:dyDescent="0.3">
      <c r="B1110" s="35"/>
    </row>
    <row r="1111" spans="2:2" x14ac:dyDescent="0.3">
      <c r="B1111" s="35"/>
    </row>
    <row r="1112" spans="2:2" x14ac:dyDescent="0.3">
      <c r="B1112" s="35"/>
    </row>
    <row r="1113" spans="2:2" x14ac:dyDescent="0.3">
      <c r="B1113" s="35"/>
    </row>
    <row r="1114" spans="2:2" x14ac:dyDescent="0.3">
      <c r="B1114" s="35"/>
    </row>
    <row r="1115" spans="2:2" x14ac:dyDescent="0.3">
      <c r="B1115" s="35"/>
    </row>
    <row r="1116" spans="2:2" x14ac:dyDescent="0.3">
      <c r="B1116" s="35"/>
    </row>
    <row r="1117" spans="2:2" x14ac:dyDescent="0.3">
      <c r="B1117" s="35"/>
    </row>
    <row r="1118" spans="2:2" x14ac:dyDescent="0.3">
      <c r="B1118" s="35"/>
    </row>
    <row r="1119" spans="2:2" x14ac:dyDescent="0.3">
      <c r="B1119" s="35"/>
    </row>
    <row r="1120" spans="2:2" x14ac:dyDescent="0.3">
      <c r="B1120" s="35"/>
    </row>
    <row r="1121" spans="2:2" x14ac:dyDescent="0.3">
      <c r="B1121" s="35"/>
    </row>
    <row r="1122" spans="2:2" x14ac:dyDescent="0.3">
      <c r="B1122" s="35"/>
    </row>
    <row r="1123" spans="2:2" x14ac:dyDescent="0.3">
      <c r="B1123" s="35"/>
    </row>
    <row r="1124" spans="2:2" x14ac:dyDescent="0.3">
      <c r="B1124" s="35"/>
    </row>
    <row r="1125" spans="2:2" x14ac:dyDescent="0.3">
      <c r="B1125" s="35"/>
    </row>
    <row r="1126" spans="2:2" x14ac:dyDescent="0.3">
      <c r="B1126" s="35"/>
    </row>
    <row r="1127" spans="2:2" x14ac:dyDescent="0.3">
      <c r="B1127" s="35"/>
    </row>
    <row r="1128" spans="2:2" x14ac:dyDescent="0.3">
      <c r="B1128" s="35"/>
    </row>
    <row r="1129" spans="2:2" x14ac:dyDescent="0.3">
      <c r="B1129" s="35"/>
    </row>
    <row r="1130" spans="2:2" x14ac:dyDescent="0.3">
      <c r="B1130" s="35"/>
    </row>
    <row r="1131" spans="2:2" x14ac:dyDescent="0.3">
      <c r="B1131" s="35"/>
    </row>
    <row r="1132" spans="2:2" x14ac:dyDescent="0.3">
      <c r="B1132" s="35"/>
    </row>
    <row r="1133" spans="2:2" x14ac:dyDescent="0.3">
      <c r="B1133" s="35"/>
    </row>
    <row r="1134" spans="2:2" x14ac:dyDescent="0.3">
      <c r="B1134" s="35"/>
    </row>
    <row r="1135" spans="2:2" x14ac:dyDescent="0.3">
      <c r="B1135" s="35"/>
    </row>
    <row r="1136" spans="2:2" x14ac:dyDescent="0.3">
      <c r="B1136" s="35"/>
    </row>
    <row r="1137" spans="2:2" x14ac:dyDescent="0.3">
      <c r="B1137" s="35"/>
    </row>
    <row r="1138" spans="2:2" x14ac:dyDescent="0.3">
      <c r="B1138" s="35"/>
    </row>
    <row r="1139" spans="2:2" x14ac:dyDescent="0.3">
      <c r="B1139" s="35"/>
    </row>
    <row r="1140" spans="2:2" x14ac:dyDescent="0.3">
      <c r="B1140" s="35"/>
    </row>
    <row r="1141" spans="2:2" x14ac:dyDescent="0.3">
      <c r="B1141" s="35"/>
    </row>
    <row r="1142" spans="2:2" x14ac:dyDescent="0.3">
      <c r="B1142" s="35"/>
    </row>
    <row r="1143" spans="2:2" x14ac:dyDescent="0.3">
      <c r="B1143" s="35"/>
    </row>
    <row r="1144" spans="2:2" x14ac:dyDescent="0.3">
      <c r="B1144" s="35"/>
    </row>
    <row r="1145" spans="2:2" x14ac:dyDescent="0.3">
      <c r="B1145" s="35"/>
    </row>
    <row r="1146" spans="2:2" x14ac:dyDescent="0.3">
      <c r="B1146" s="35"/>
    </row>
    <row r="1147" spans="2:2" x14ac:dyDescent="0.3">
      <c r="B1147" s="35"/>
    </row>
    <row r="1148" spans="2:2" x14ac:dyDescent="0.3">
      <c r="B1148" s="35"/>
    </row>
    <row r="1149" spans="2:2" x14ac:dyDescent="0.3">
      <c r="B1149" s="35"/>
    </row>
    <row r="1150" spans="2:2" x14ac:dyDescent="0.3">
      <c r="B1150" s="35"/>
    </row>
    <row r="1151" spans="2:2" x14ac:dyDescent="0.3">
      <c r="B1151" s="35"/>
    </row>
    <row r="1152" spans="2:2" x14ac:dyDescent="0.3">
      <c r="B1152" s="35"/>
    </row>
    <row r="1153" spans="2:2" x14ac:dyDescent="0.3">
      <c r="B1153" s="35"/>
    </row>
  </sheetData>
  <sheetProtection insertRows="0" deleteRows="0" selectLockedCells="1" selectUnlockedCells="1"/>
  <mergeCells count="4">
    <mergeCell ref="A1:D4"/>
    <mergeCell ref="N1:O1"/>
    <mergeCell ref="F1:G1"/>
    <mergeCell ref="K1:M1"/>
  </mergeCells>
  <conditionalFormatting sqref="B6:B500">
    <cfRule type="containsText" dxfId="10" priority="35" operator="containsText" text="IC-Inpatient">
      <formula>NOT(ISERROR(SEARCH("IC-Inpatient",B6)))</formula>
    </cfRule>
    <cfRule type="containsText" dxfId="9" priority="36" operator="containsText" text="SC-Skilled">
      <formula>NOT(ISERROR(SEARCH("SC-Skilled",B6)))</formula>
    </cfRule>
    <cfRule type="containsText" dxfId="8" priority="37" operator="containsText" text="Adjustment">
      <formula>NOT(ISERROR(SEARCH("Adjustment",B6)))</formula>
    </cfRule>
    <cfRule type="containsText" dxfId="7" priority="38" operator="containsText" text="OC-Outpatient">
      <formula>NOT(ISERROR(SEARCH("OC-Outpatient",B6)))</formula>
    </cfRule>
    <cfRule type="containsText" dxfId="6" priority="39" operator="containsText" text="PA-Professional">
      <formula>NOT(ISERROR(SEARCH("PA-Professional",B6)))</formula>
    </cfRule>
  </conditionalFormatting>
  <conditionalFormatting sqref="C6:C500">
    <cfRule type="containsText" dxfId="5" priority="46" operator="containsText" text="Hold/Work Later">
      <formula>NOT(ISERROR(SEARCH("Hold/Work Later",C6)))</formula>
    </cfRule>
    <cfRule type="containsText" dxfId="4" priority="47" operator="containsText" text="Other">
      <formula>NOT(ISERROR(SEARCH("Other",C6)))</formula>
    </cfRule>
    <cfRule type="containsText" dxfId="3" priority="48" operator="containsText" text="Valid DF">
      <formula>NOT(ISERROR(SEARCH("Valid DF",C6)))</formula>
    </cfRule>
    <cfRule type="containsText" dxfId="2" priority="49" operator="containsText" text="Returned CIW">
      <formula>NOT(ISERROR(SEARCH("Returned CIW",C6)))</formula>
    </cfRule>
    <cfRule type="containsText" dxfId="1" priority="620" operator="containsText" text="created DF">
      <formula>NOT(ISERROR(SEARCH("created DF",C6)))</formula>
    </cfRule>
  </conditionalFormatting>
  <conditionalFormatting sqref="A6:A500">
    <cfRule type="duplicateValues" dxfId="0" priority="1"/>
  </conditionalFormatting>
  <dataValidations count="4">
    <dataValidation type="list" allowBlank="1" showInputMessage="1" showErrorMessage="1" sqref="C1143:C1153 C1046:C1141" xr:uid="{F860F830-FE69-400A-81C8-8D759B853CB4}">
      <formula1>"Valid DF, returned (Status 11), created DF"</formula1>
    </dataValidation>
    <dataValidation type="list" allowBlank="1" showInputMessage="1" showErrorMessage="1" sqref="C1142" xr:uid="{E6168998-901D-45B5-BB86-9E71801DFE4B}">
      <formula1>"HD return, Valid DF, returned (Status 11), created DF"</formula1>
    </dataValidation>
    <dataValidation type="list" allowBlank="1" showInputMessage="1" showErrorMessage="1" sqref="C6:C500" xr:uid="{081E7C01-2670-488A-AEBD-7B85B3461F82}">
      <formula1>"Valid DF, Returned CIW, Created DF, Other, Hold/Work Later"</formula1>
    </dataValidation>
    <dataValidation type="list" allowBlank="1" showInputMessage="1" showErrorMessage="1" sqref="B1:B4 B6:B1048576" xr:uid="{53BC8957-8AFD-4308-A4E3-052CC750FB42}">
      <formula1>"PA-Professional, OC-Outpatient, IC-Inpatient, SC-Skilled, Adjustment"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759A5-64E4-4337-BC2B-C30D7051B937}">
  <sheetPr codeName="Sheet2">
    <tabColor rgb="FF00B0F0"/>
  </sheetPr>
  <dimension ref="A2:M20"/>
  <sheetViews>
    <sheetView tabSelected="1" workbookViewId="0">
      <selection activeCell="R5" sqref="R5"/>
    </sheetView>
  </sheetViews>
  <sheetFormatPr defaultRowHeight="14.4" x14ac:dyDescent="0.3"/>
  <cols>
    <col min="1" max="1" width="18.88671875" bestFit="1" customWidth="1"/>
    <col min="4" max="4" width="10.44140625" customWidth="1"/>
    <col min="12" max="12" width="9.109375" style="22"/>
  </cols>
  <sheetData>
    <row r="2" spans="1:13" x14ac:dyDescent="0.3">
      <c r="A2" s="39" t="s">
        <v>5</v>
      </c>
      <c r="B2" s="4">
        <f>'DF Tracker'!H2</f>
        <v>0</v>
      </c>
      <c r="D2" s="10" t="s">
        <v>7</v>
      </c>
      <c r="E2" s="11">
        <v>0</v>
      </c>
      <c r="F2" s="11">
        <v>0</v>
      </c>
      <c r="G2" s="2"/>
      <c r="H2" s="2"/>
      <c r="J2" s="12" t="s">
        <v>12</v>
      </c>
      <c r="K2" s="13">
        <v>0</v>
      </c>
      <c r="L2" s="19">
        <v>0</v>
      </c>
      <c r="M2" s="3"/>
    </row>
    <row r="3" spans="1:13" x14ac:dyDescent="0.3">
      <c r="A3" s="40" t="s">
        <v>14</v>
      </c>
      <c r="B3" s="38">
        <f>'DF Tracker'!H3</f>
        <v>0</v>
      </c>
      <c r="D3" s="7"/>
      <c r="E3" s="20">
        <v>0</v>
      </c>
      <c r="F3" s="20">
        <v>0</v>
      </c>
      <c r="G3" s="4">
        <f t="shared" ref="G3:G11" si="0">F3-E3</f>
        <v>0</v>
      </c>
      <c r="H3" s="2"/>
      <c r="J3" s="5"/>
      <c r="K3" s="20">
        <v>0</v>
      </c>
      <c r="L3" s="20">
        <v>0</v>
      </c>
      <c r="M3" s="4">
        <f>L3-K3</f>
        <v>0</v>
      </c>
    </row>
    <row r="4" spans="1:13" x14ac:dyDescent="0.3">
      <c r="A4" s="41" t="s">
        <v>13</v>
      </c>
      <c r="B4" s="38">
        <f>'DF Tracker'!H4</f>
        <v>0</v>
      </c>
      <c r="D4" s="7"/>
      <c r="E4" s="20">
        <v>0</v>
      </c>
      <c r="F4" s="20">
        <v>0</v>
      </c>
      <c r="G4" s="4">
        <f t="shared" si="0"/>
        <v>0</v>
      </c>
      <c r="H4" s="2"/>
      <c r="J4" s="6"/>
      <c r="K4" s="20">
        <v>0</v>
      </c>
      <c r="L4" s="20">
        <v>0</v>
      </c>
      <c r="M4" s="4">
        <f t="shared" ref="M4" si="1">L4-K4</f>
        <v>0</v>
      </c>
    </row>
    <row r="5" spans="1:13" x14ac:dyDescent="0.3">
      <c r="A5" s="6" t="s">
        <v>12</v>
      </c>
      <c r="B5" s="38">
        <f>M9</f>
        <v>0</v>
      </c>
      <c r="D5" s="7"/>
      <c r="E5" s="20">
        <v>0</v>
      </c>
      <c r="F5" s="20">
        <v>0</v>
      </c>
      <c r="G5" s="4">
        <f t="shared" si="0"/>
        <v>0</v>
      </c>
      <c r="H5" s="2"/>
      <c r="J5" s="6"/>
      <c r="K5" s="20">
        <v>0</v>
      </c>
      <c r="L5" s="20">
        <v>0</v>
      </c>
      <c r="M5" s="4">
        <f t="shared" ref="M5:M8" si="2">L5-K5</f>
        <v>0</v>
      </c>
    </row>
    <row r="6" spans="1:13" x14ac:dyDescent="0.3">
      <c r="A6" s="69" t="s">
        <v>6</v>
      </c>
      <c r="B6" s="38">
        <f>'DF Tracker'!M2</f>
        <v>0</v>
      </c>
      <c r="D6" s="7"/>
      <c r="E6" s="20">
        <v>0</v>
      </c>
      <c r="F6" s="20">
        <v>0</v>
      </c>
      <c r="G6" s="4">
        <f t="shared" si="0"/>
        <v>0</v>
      </c>
      <c r="H6" s="2"/>
      <c r="J6" s="6"/>
      <c r="K6" s="20">
        <v>0</v>
      </c>
      <c r="L6" s="20">
        <v>0</v>
      </c>
      <c r="M6" s="4">
        <f t="shared" si="2"/>
        <v>0</v>
      </c>
    </row>
    <row r="7" spans="1:13" x14ac:dyDescent="0.3">
      <c r="A7" s="42" t="s">
        <v>7</v>
      </c>
      <c r="B7" s="43">
        <f>G12</f>
        <v>0</v>
      </c>
      <c r="D7" s="7"/>
      <c r="E7" s="20">
        <v>0</v>
      </c>
      <c r="F7" s="20">
        <v>0</v>
      </c>
      <c r="G7" s="4">
        <f t="shared" si="0"/>
        <v>0</v>
      </c>
      <c r="H7" s="2"/>
      <c r="J7" s="6"/>
      <c r="K7" s="20">
        <v>0</v>
      </c>
      <c r="L7" s="20">
        <v>0</v>
      </c>
      <c r="M7" s="4">
        <f t="shared" si="2"/>
        <v>0</v>
      </c>
    </row>
    <row r="8" spans="1:13" ht="18" thickBot="1" x14ac:dyDescent="0.4">
      <c r="A8" s="44" t="s">
        <v>11</v>
      </c>
      <c r="B8" s="45">
        <f>SUM(B2:B5,B7)</f>
        <v>0</v>
      </c>
      <c r="D8" s="7"/>
      <c r="E8" s="20">
        <v>0</v>
      </c>
      <c r="F8" s="20">
        <v>0</v>
      </c>
      <c r="G8" s="4">
        <f t="shared" si="0"/>
        <v>0</v>
      </c>
      <c r="H8" s="2"/>
      <c r="J8" s="6"/>
      <c r="K8" s="20">
        <v>0</v>
      </c>
      <c r="L8" s="20">
        <v>0</v>
      </c>
      <c r="M8" s="4">
        <f t="shared" si="2"/>
        <v>0</v>
      </c>
    </row>
    <row r="9" spans="1:13" ht="18" thickBot="1" x14ac:dyDescent="0.4">
      <c r="D9" s="7"/>
      <c r="E9" s="20">
        <v>0</v>
      </c>
      <c r="F9" s="20">
        <v>0</v>
      </c>
      <c r="G9" s="4">
        <f t="shared" si="0"/>
        <v>0</v>
      </c>
      <c r="H9" s="2"/>
      <c r="J9" s="16" t="s">
        <v>11</v>
      </c>
      <c r="K9" s="17"/>
      <c r="L9" s="21"/>
      <c r="M9" s="18">
        <f>SUM(M3:M8)</f>
        <v>0</v>
      </c>
    </row>
    <row r="10" spans="1:13" x14ac:dyDescent="0.3">
      <c r="D10" s="7"/>
      <c r="E10" s="20">
        <v>0</v>
      </c>
      <c r="F10" s="20">
        <v>0</v>
      </c>
      <c r="G10" s="4">
        <f t="shared" si="0"/>
        <v>0</v>
      </c>
      <c r="H10" s="2"/>
    </row>
    <row r="11" spans="1:13" ht="15" thickBot="1" x14ac:dyDescent="0.35">
      <c r="D11" s="7"/>
      <c r="E11" s="20">
        <v>0</v>
      </c>
      <c r="F11" s="20">
        <v>0</v>
      </c>
      <c r="G11" s="4">
        <f t="shared" si="0"/>
        <v>0</v>
      </c>
      <c r="H11" s="2"/>
    </row>
    <row r="12" spans="1:13" ht="18" thickBot="1" x14ac:dyDescent="0.4">
      <c r="D12" s="16" t="s">
        <v>11</v>
      </c>
      <c r="E12" s="24"/>
      <c r="F12" s="24"/>
      <c r="G12" s="97">
        <f>SUM(G3:G11)</f>
        <v>0</v>
      </c>
      <c r="H12" s="23"/>
    </row>
    <row r="16" spans="1:13" x14ac:dyDescent="0.3">
      <c r="B16" s="2"/>
    </row>
    <row r="20" spans="4:4" x14ac:dyDescent="0.3">
      <c r="D20" s="14"/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DF Tracker</vt:lpstr>
      <vt:lpstr>Downtime Tracker</vt:lpstr>
      <vt:lpstr>'DF Tracker'!DCN_Section_pyWorkPage_1</vt:lpstr>
    </vt:vector>
  </TitlesOfParts>
  <Manager/>
  <Company>Anthem Inc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Anthem, Inc.</dc:creator>
  <cp:keywords/>
  <dc:description/>
  <cp:lastModifiedBy>Sara Logan</cp:lastModifiedBy>
  <cp:revision/>
  <dcterms:created xsi:type="dcterms:W3CDTF">2023-05-18T17:11:53Z</dcterms:created>
  <dcterms:modified xsi:type="dcterms:W3CDTF">2026-10-09T16:16:35Z</dcterms:modified>
  <cp:category/>
  <cp:contentStatus/>
</cp:coreProperties>
</file>